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корреляция" sheetId="3" r:id="rId1"/>
    <sheet name="свод" sheetId="2" r:id="rId2"/>
    <sheet name="данные" sheetId="1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W20" i="3" l="1"/>
  <c r="W21" i="3" s="1"/>
  <c r="W8" i="3"/>
  <c r="X8" i="3" s="1"/>
  <c r="W7" i="3"/>
  <c r="X7" i="3"/>
  <c r="Y7" i="3"/>
  <c r="Z7" i="3"/>
  <c r="AA7" i="3"/>
  <c r="W19" i="3"/>
  <c r="X19" i="3"/>
  <c r="Y19" i="3"/>
  <c r="Z19" i="3"/>
  <c r="AA19" i="3"/>
  <c r="W25" i="3" l="1"/>
  <c r="W22" i="3"/>
  <c r="W23" i="3" s="1"/>
  <c r="W26" i="3" s="1"/>
  <c r="W27" i="3" s="1"/>
  <c r="X20" i="3"/>
  <c r="Y8" i="3"/>
  <c r="X9" i="3"/>
  <c r="W9" i="3"/>
  <c r="Y20" i="3" l="1"/>
  <c r="X21" i="3"/>
  <c r="W13" i="3"/>
  <c r="W10" i="3"/>
  <c r="W11" i="3" s="1"/>
  <c r="W14" i="3" s="1"/>
  <c r="W15" i="3" s="1"/>
  <c r="X13" i="3"/>
  <c r="X10" i="3"/>
  <c r="X11" i="3" s="1"/>
  <c r="X14" i="3" s="1"/>
  <c r="X15" i="3" s="1"/>
  <c r="Y9" i="3"/>
  <c r="Z8" i="3"/>
  <c r="X22" i="3" l="1"/>
  <c r="X23" i="3" s="1"/>
  <c r="X26" i="3" s="1"/>
  <c r="X27" i="3" s="1"/>
  <c r="X25" i="3"/>
  <c r="Y21" i="3"/>
  <c r="Z20" i="3"/>
  <c r="Z9" i="3"/>
  <c r="AA8" i="3"/>
  <c r="AA9" i="3" s="1"/>
  <c r="Y10" i="3"/>
  <c r="Y11" i="3" s="1"/>
  <c r="Y14" i="3" s="1"/>
  <c r="Y15" i="3" s="1"/>
  <c r="Y13" i="3"/>
  <c r="Z21" i="3" l="1"/>
  <c r="AA20" i="3"/>
  <c r="AA21" i="3" s="1"/>
  <c r="Y22" i="3"/>
  <c r="Y23" i="3" s="1"/>
  <c r="Y26" i="3" s="1"/>
  <c r="Y27" i="3" s="1"/>
  <c r="Y25" i="3"/>
  <c r="AA10" i="3"/>
  <c r="AA11" i="3" s="1"/>
  <c r="AA14" i="3" s="1"/>
  <c r="AA15" i="3" s="1"/>
  <c r="AA13" i="3"/>
  <c r="Z10" i="3"/>
  <c r="Z11" i="3" s="1"/>
  <c r="Z14" i="3" s="1"/>
  <c r="Z15" i="3" s="1"/>
  <c r="Z13" i="3"/>
  <c r="AA22" i="3" l="1"/>
  <c r="AA23" i="3" s="1"/>
  <c r="AA26" i="3" s="1"/>
  <c r="AA27" i="3" s="1"/>
  <c r="AA25" i="3"/>
  <c r="Z22" i="3"/>
  <c r="Z23" i="3" s="1"/>
  <c r="Z26" i="3" s="1"/>
  <c r="Z27" i="3" s="1"/>
  <c r="Z25" i="3"/>
</calcChain>
</file>

<file path=xl/sharedStrings.xml><?xml version="1.0" encoding="utf-8"?>
<sst xmlns="http://schemas.openxmlformats.org/spreadsheetml/2006/main" count="2488" uniqueCount="43">
  <si>
    <t>Страна</t>
  </si>
  <si>
    <t>report_date</t>
  </si>
  <si>
    <t>variable</t>
  </si>
  <si>
    <t>value</t>
  </si>
  <si>
    <t>Индия</t>
  </si>
  <si>
    <t>Китай</t>
  </si>
  <si>
    <t>ВВП</t>
  </si>
  <si>
    <t>Волатильность</t>
  </si>
  <si>
    <t>Цена/прибыль</t>
  </si>
  <si>
    <t>Капитализация</t>
  </si>
  <si>
    <t>Объем торгов</t>
  </si>
  <si>
    <t>Оборачиваемость</t>
  </si>
  <si>
    <t>2001</t>
  </si>
  <si>
    <t>мар</t>
  </si>
  <si>
    <t>июн</t>
  </si>
  <si>
    <t>сен</t>
  </si>
  <si>
    <t>дек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</si>
  <si>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</si>
  <si>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</si>
  <si>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</si>
  <si>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</si>
  <si>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</si>
  <si>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</si>
  <si>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</si>
  <si>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</si>
  <si>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</si>
  <si>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</si>
  <si>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</si>
  <si>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</si>
  <si>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</si>
  <si>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</si>
  <si>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</si>
  <si>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</si>
  <si>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</si>
  <si>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</si>
  <si>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</si>
  <si>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</si>
  <si>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</si>
  <si>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</si>
  <si>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</si>
  <si>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Сумма по полю value</t>
  </si>
  <si>
    <t>Годы</t>
  </si>
  <si>
    <t>p-val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</si>
</sst>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165" fontId="0" fillId="0" borderId="0" xfId="1" applyNumberFormat="1" applyFont="1" applyFill="1" applyBorder="1" applyAlignment="1"/>
    <xf numFmtId="165" fontId="0" fillId="0" borderId="2" xfId="1" applyNumberFormat="1" applyFont="1" applyFill="1" applyBorder="1" applyAlignment="1"/>
    <xf numFmtId="165" fontId="0" fillId="0" borderId="0" xfId="1" applyNumberFormat="1" applyFont="1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корреляция!$C$2</c:f>
              <c:strCache>
                <c:ptCount val="1"/>
                <c:pt idx="0">
                  <c:v>Капитализация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корреляция!$A$3:$A$97</c:f>
              <c:numCache>
                <c:formatCode>General</c:formatCode>
                <c:ptCount val="95"/>
                <c:pt idx="4">
                  <c:v>2168472999.8249512</c:v>
                </c:pt>
                <c:pt idx="5">
                  <c:v>2503445077.0845342</c:v>
                </c:pt>
                <c:pt idx="6">
                  <c:v>-722459970.69140625</c:v>
                </c:pt>
                <c:pt idx="7">
                  <c:v>8240148137.0823975</c:v>
                </c:pt>
                <c:pt idx="8">
                  <c:v>504060762.23660278</c:v>
                </c:pt>
                <c:pt idx="9">
                  <c:v>6928465384.148407</c:v>
                </c:pt>
                <c:pt idx="10">
                  <c:v>11575918066.31723</c:v>
                </c:pt>
                <c:pt idx="11">
                  <c:v>-1662278822.9073789</c:v>
                </c:pt>
                <c:pt idx="12">
                  <c:v>12910867799.14444</c:v>
                </c:pt>
                <c:pt idx="13">
                  <c:v>10044332633.155239</c:v>
                </c:pt>
                <c:pt idx="14">
                  <c:v>-2194251890.9832759</c:v>
                </c:pt>
                <c:pt idx="15">
                  <c:v>9111213392.6320801</c:v>
                </c:pt>
                <c:pt idx="16">
                  <c:v>7627254101.9596252</c:v>
                </c:pt>
                <c:pt idx="17">
                  <c:v>-604015388.35247803</c:v>
                </c:pt>
                <c:pt idx="18">
                  <c:v>8627283750.9066162</c:v>
                </c:pt>
                <c:pt idx="19">
                  <c:v>9580139700.8459473</c:v>
                </c:pt>
                <c:pt idx="20">
                  <c:v>-2781269107.864502</c:v>
                </c:pt>
                <c:pt idx="21">
                  <c:v>10832727167.85046</c:v>
                </c:pt>
                <c:pt idx="22">
                  <c:v>35621935.827087402</c:v>
                </c:pt>
                <c:pt idx="23">
                  <c:v>8136337791.1976929</c:v>
                </c:pt>
                <c:pt idx="24">
                  <c:v>8670413078.5150757</c:v>
                </c:pt>
                <c:pt idx="25">
                  <c:v>8140655610.3591919</c:v>
                </c:pt>
                <c:pt idx="26">
                  <c:v>13886835457.570681</c:v>
                </c:pt>
                <c:pt idx="27">
                  <c:v>919576776.59661865</c:v>
                </c:pt>
                <c:pt idx="28">
                  <c:v>30847697442.42749</c:v>
                </c:pt>
                <c:pt idx="29">
                  <c:v>4203693441.1933589</c:v>
                </c:pt>
                <c:pt idx="30">
                  <c:v>-17206216871.401058</c:v>
                </c:pt>
                <c:pt idx="31">
                  <c:v>636446766.72503662</c:v>
                </c:pt>
                <c:pt idx="32">
                  <c:v>7141568060.4303589</c:v>
                </c:pt>
                <c:pt idx="33">
                  <c:v>5232581359.2958984</c:v>
                </c:pt>
                <c:pt idx="34">
                  <c:v>986354952.9329834</c:v>
                </c:pt>
                <c:pt idx="35">
                  <c:v>11340075031.38489</c:v>
                </c:pt>
                <c:pt idx="36">
                  <c:v>5412342166.982605</c:v>
                </c:pt>
                <c:pt idx="37">
                  <c:v>11296354621.93866</c:v>
                </c:pt>
                <c:pt idx="38">
                  <c:v>5746229347.1029053</c:v>
                </c:pt>
                <c:pt idx="39">
                  <c:v>6682430477.8519897</c:v>
                </c:pt>
                <c:pt idx="40">
                  <c:v>9960433979.6413574</c:v>
                </c:pt>
                <c:pt idx="41">
                  <c:v>-5523320390.7730103</c:v>
                </c:pt>
                <c:pt idx="42">
                  <c:v>-6828405451.128418</c:v>
                </c:pt>
                <c:pt idx="43">
                  <c:v>26922527798.941349</c:v>
                </c:pt>
                <c:pt idx="44">
                  <c:v>-1317401939.8887939</c:v>
                </c:pt>
                <c:pt idx="45">
                  <c:v>3654107074.7868652</c:v>
                </c:pt>
                <c:pt idx="46">
                  <c:v>-112805675.4193726</c:v>
                </c:pt>
                <c:pt idx="47">
                  <c:v>1660980246.7276001</c:v>
                </c:pt>
                <c:pt idx="48">
                  <c:v>-12160382977.89185</c:v>
                </c:pt>
                <c:pt idx="49">
                  <c:v>15997202682.853331</c:v>
                </c:pt>
                <c:pt idx="50">
                  <c:v>4216362177.2817378</c:v>
                </c:pt>
                <c:pt idx="51">
                  <c:v>306455298.21252441</c:v>
                </c:pt>
                <c:pt idx="52">
                  <c:v>2115920415.382812</c:v>
                </c:pt>
                <c:pt idx="53">
                  <c:v>2309925326.417542</c:v>
                </c:pt>
                <c:pt idx="54">
                  <c:v>3833529385.1532588</c:v>
                </c:pt>
                <c:pt idx="55">
                  <c:v>-963956483.29608154</c:v>
                </c:pt>
                <c:pt idx="56">
                  <c:v>10749613545.781191</c:v>
                </c:pt>
                <c:pt idx="57">
                  <c:v>16864358201.718691</c:v>
                </c:pt>
                <c:pt idx="58">
                  <c:v>-10550670463.38159</c:v>
                </c:pt>
                <c:pt idx="59">
                  <c:v>7663788336.9546509</c:v>
                </c:pt>
                <c:pt idx="60">
                  <c:v>9738890254.5437012</c:v>
                </c:pt>
                <c:pt idx="61">
                  <c:v>11231805422.060301</c:v>
                </c:pt>
                <c:pt idx="62">
                  <c:v>9217453089.8954468</c:v>
                </c:pt>
                <c:pt idx="63">
                  <c:v>14801327631.200871</c:v>
                </c:pt>
                <c:pt idx="64">
                  <c:v>4330719719.4945068</c:v>
                </c:pt>
                <c:pt idx="65">
                  <c:v>12583737488.52393</c:v>
                </c:pt>
                <c:pt idx="66">
                  <c:v>11374530900.835079</c:v>
                </c:pt>
                <c:pt idx="67">
                  <c:v>8778666827.68396</c:v>
                </c:pt>
                <c:pt idx="68">
                  <c:v>10556989584.536249</c:v>
                </c:pt>
                <c:pt idx="69">
                  <c:v>132844553.7626953</c:v>
                </c:pt>
                <c:pt idx="70">
                  <c:v>5435314547.7171631</c:v>
                </c:pt>
                <c:pt idx="71">
                  <c:v>-6612869543.7607422</c:v>
                </c:pt>
                <c:pt idx="72">
                  <c:v>918583885.14611816</c:v>
                </c:pt>
                <c:pt idx="73">
                  <c:v>-3413021600.0915532</c:v>
                </c:pt>
                <c:pt idx="74">
                  <c:v>-5071033487.4876709</c:v>
                </c:pt>
                <c:pt idx="75">
                  <c:v>-5450845158.3652344</c:v>
                </c:pt>
                <c:pt idx="76">
                  <c:v>-96122138674.753113</c:v>
                </c:pt>
                <c:pt idx="77">
                  <c:v>62741969034.67572</c:v>
                </c:pt>
                <c:pt idx="78">
                  <c:v>42205223567.319817</c:v>
                </c:pt>
                <c:pt idx="79">
                  <c:v>14394651560.153561</c:v>
                </c:pt>
                <c:pt idx="80">
                  <c:v>8199631366.9287109</c:v>
                </c:pt>
                <c:pt idx="81">
                  <c:v>12683052200.77002</c:v>
                </c:pt>
                <c:pt idx="82">
                  <c:v>17787000261.514771</c:v>
                </c:pt>
                <c:pt idx="83">
                  <c:v>11925199737.695801</c:v>
                </c:pt>
                <c:pt idx="84">
                  <c:v>50401648766.076538</c:v>
                </c:pt>
                <c:pt idx="85">
                  <c:v>-35947066948.485718</c:v>
                </c:pt>
                <c:pt idx="86">
                  <c:v>-183815548.78991699</c:v>
                </c:pt>
                <c:pt idx="87">
                  <c:v>12809591771.390141</c:v>
                </c:pt>
                <c:pt idx="88">
                  <c:v>34232257881.370609</c:v>
                </c:pt>
                <c:pt idx="89">
                  <c:v>-7596112629.2683105</c:v>
                </c:pt>
                <c:pt idx="90">
                  <c:v>7959698024.3986816</c:v>
                </c:pt>
                <c:pt idx="91">
                  <c:v>12393480982.28064</c:v>
                </c:pt>
                <c:pt idx="92">
                  <c:v>12240913740.20776</c:v>
                </c:pt>
                <c:pt idx="93">
                  <c:v>9349923914.642334</c:v>
                </c:pt>
                <c:pt idx="94">
                  <c:v>15744208929.186769</c:v>
                </c:pt>
              </c:numCache>
            </c:numRef>
          </c:xVal>
          <c:yVal>
            <c:numRef>
              <c:f>корреляция!$C$3:$C$97</c:f>
              <c:numCache>
                <c:formatCode>General</c:formatCode>
                <c:ptCount val="95"/>
                <c:pt idx="4">
                  <c:v>7378355995.5585022</c:v>
                </c:pt>
                <c:pt idx="5">
                  <c:v>-32025005738.290409</c:v>
                </c:pt>
                <c:pt idx="6">
                  <c:v>20857502523.9505</c:v>
                </c:pt>
                <c:pt idx="7">
                  <c:v>-34323110680.21051</c:v>
                </c:pt>
                <c:pt idx="8">
                  <c:v>70757637944.825989</c:v>
                </c:pt>
                <c:pt idx="9">
                  <c:v>63785325885.768799</c:v>
                </c:pt>
                <c:pt idx="10">
                  <c:v>93296629833.420593</c:v>
                </c:pt>
                <c:pt idx="11">
                  <c:v>-21989754266.30859</c:v>
                </c:pt>
                <c:pt idx="12">
                  <c:v>-53894410463.09021</c:v>
                </c:pt>
                <c:pt idx="13">
                  <c:v>82936979821.589905</c:v>
                </c:pt>
                <c:pt idx="14">
                  <c:v>161662229564.82339</c:v>
                </c:pt>
                <c:pt idx="15">
                  <c:v>2916353505.6430659</c:v>
                </c:pt>
                <c:pt idx="16">
                  <c:v>6894475691.4238281</c:v>
                </c:pt>
                <c:pt idx="17">
                  <c:v>170153990232.87939</c:v>
                </c:pt>
                <c:pt idx="18">
                  <c:v>65545896073.820801</c:v>
                </c:pt>
                <c:pt idx="19">
                  <c:v>184523871853.23679</c:v>
                </c:pt>
                <c:pt idx="20">
                  <c:v>-120834003322.90041</c:v>
                </c:pt>
                <c:pt idx="21">
                  <c:v>67242957833.175293</c:v>
                </c:pt>
                <c:pt idx="22">
                  <c:v>181618918957.17111</c:v>
                </c:pt>
                <c:pt idx="23">
                  <c:v>-85296228329.959106</c:v>
                </c:pt>
                <c:pt idx="24">
                  <c:v>179102592087.88101</c:v>
                </c:pt>
                <c:pt idx="25">
                  <c:v>341419173747.92407</c:v>
                </c:pt>
                <c:pt idx="26">
                  <c:v>391707994723.03912</c:v>
                </c:pt>
                <c:pt idx="27">
                  <c:v>-442754387375.23712</c:v>
                </c:pt>
                <c:pt idx="28">
                  <c:v>-344062392116.146</c:v>
                </c:pt>
                <c:pt idx="29">
                  <c:v>-29734916395.51392</c:v>
                </c:pt>
                <c:pt idx="30">
                  <c:v>-305497185714.65002</c:v>
                </c:pt>
                <c:pt idx="31">
                  <c:v>-70398751419.473389</c:v>
                </c:pt>
                <c:pt idx="32">
                  <c:v>481614645927.89728</c:v>
                </c:pt>
                <c:pt idx="33">
                  <c:v>70481200661.983887</c:v>
                </c:pt>
                <c:pt idx="34">
                  <c:v>38501784188.133057</c:v>
                </c:pt>
                <c:pt idx="35">
                  <c:v>46800003856.717041</c:v>
                </c:pt>
                <c:pt idx="36">
                  <c:v>80053116617.848877</c:v>
                </c:pt>
                <c:pt idx="37">
                  <c:v>75202151605.37207</c:v>
                </c:pt>
                <c:pt idx="38">
                  <c:v>2607920943.0109859</c:v>
                </c:pt>
                <c:pt idx="39">
                  <c:v>-94320925651.682861</c:v>
                </c:pt>
                <c:pt idx="40">
                  <c:v>-34188224631.291019</c:v>
                </c:pt>
                <c:pt idx="41">
                  <c:v>-245785750648.06491</c:v>
                </c:pt>
                <c:pt idx="42">
                  <c:v>-117593106954.80811</c:v>
                </c:pt>
                <c:pt idx="43">
                  <c:v>145530548426.09109</c:v>
                </c:pt>
                <c:pt idx="44">
                  <c:v>-56059806812.985107</c:v>
                </c:pt>
                <c:pt idx="45">
                  <c:v>36369359043.578117</c:v>
                </c:pt>
                <c:pt idx="46">
                  <c:v>37701928479.407959</c:v>
                </c:pt>
                <c:pt idx="47">
                  <c:v>-95293232996.989014</c:v>
                </c:pt>
                <c:pt idx="48">
                  <c:v>-25938369519.193119</c:v>
                </c:pt>
                <c:pt idx="49">
                  <c:v>-43520352963.405029</c:v>
                </c:pt>
                <c:pt idx="50">
                  <c:v>64441886508.301033</c:v>
                </c:pt>
                <c:pt idx="51">
                  <c:v>82058970160.337158</c:v>
                </c:pt>
                <c:pt idx="52">
                  <c:v>260342670287.728</c:v>
                </c:pt>
                <c:pt idx="53">
                  <c:v>6752492354.6428223</c:v>
                </c:pt>
                <c:pt idx="54">
                  <c:v>33154122645.105961</c:v>
                </c:pt>
                <c:pt idx="55">
                  <c:v>84105088961.976074</c:v>
                </c:pt>
                <c:pt idx="56">
                  <c:v>-30365388607.397949</c:v>
                </c:pt>
                <c:pt idx="57">
                  <c:v>-136821541132.21091</c:v>
                </c:pt>
                <c:pt idx="58">
                  <c:v>24285251867.811039</c:v>
                </c:pt>
                <c:pt idx="59">
                  <c:v>-46780862223.77002</c:v>
                </c:pt>
                <c:pt idx="60">
                  <c:v>87093223106.649902</c:v>
                </c:pt>
                <c:pt idx="61">
                  <c:v>63035623172.51001</c:v>
                </c:pt>
                <c:pt idx="62">
                  <c:v>-53227816067.531982</c:v>
                </c:pt>
                <c:pt idx="63">
                  <c:v>267823213539.7449</c:v>
                </c:pt>
                <c:pt idx="64">
                  <c:v>14402881736.599119</c:v>
                </c:pt>
                <c:pt idx="65">
                  <c:v>45450021328.301033</c:v>
                </c:pt>
                <c:pt idx="66">
                  <c:v>243979228916.52289</c:v>
                </c:pt>
                <c:pt idx="67">
                  <c:v>-117521706603.1279</c:v>
                </c:pt>
                <c:pt idx="68">
                  <c:v>48583892687.815918</c:v>
                </c:pt>
                <c:pt idx="69">
                  <c:v>-105426328251.21091</c:v>
                </c:pt>
                <c:pt idx="70">
                  <c:v>19401892802.217041</c:v>
                </c:pt>
                <c:pt idx="71">
                  <c:v>23694918004.234859</c:v>
                </c:pt>
                <c:pt idx="72">
                  <c:v>-5783260382.9770508</c:v>
                </c:pt>
                <c:pt idx="73">
                  <c:v>-100011099454.136</c:v>
                </c:pt>
                <c:pt idx="74">
                  <c:v>62116115346.750977</c:v>
                </c:pt>
                <c:pt idx="75">
                  <c:v>-524412618626.85992</c:v>
                </c:pt>
                <c:pt idx="76">
                  <c:v>306708424789.8501</c:v>
                </c:pt>
                <c:pt idx="77">
                  <c:v>154725278773.28589</c:v>
                </c:pt>
                <c:pt idx="78">
                  <c:v>356788905889.81488</c:v>
                </c:pt>
                <c:pt idx="79">
                  <c:v>202333081845.00201</c:v>
                </c:pt>
                <c:pt idx="80">
                  <c:v>260758221963.71091</c:v>
                </c:pt>
                <c:pt idx="81">
                  <c:v>297180360818.76221</c:v>
                </c:pt>
                <c:pt idx="82">
                  <c:v>14413212012.78516</c:v>
                </c:pt>
                <c:pt idx="83">
                  <c:v>-22662188760.519039</c:v>
                </c:pt>
                <c:pt idx="84">
                  <c:v>-299276186802.28912</c:v>
                </c:pt>
                <c:pt idx="85">
                  <c:v>267160521568.1709</c:v>
                </c:pt>
                <c:pt idx="86">
                  <c:v>68788781256.453125</c:v>
                </c:pt>
                <c:pt idx="87">
                  <c:v>-268745476951.061</c:v>
                </c:pt>
                <c:pt idx="88">
                  <c:v>356854801705.81488</c:v>
                </c:pt>
                <c:pt idx="89">
                  <c:v>147476988944.7529</c:v>
                </c:pt>
                <c:pt idx="90">
                  <c:v>461848881581.08691</c:v>
                </c:pt>
                <c:pt idx="91">
                  <c:v>224653602750.52829</c:v>
                </c:pt>
                <c:pt idx="92">
                  <c:v>457403616624.63568</c:v>
                </c:pt>
                <c:pt idx="93">
                  <c:v>301363080153.18121</c:v>
                </c:pt>
                <c:pt idx="94">
                  <c:v>-362350017176.16602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6-4343-9624-FC7D76D7C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97263"/>
        <c:axId val="448401839"/>
      </c:scatterChart>
      <c:valAx>
        <c:axId val="44839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401839"/>
        <c:crosses val="autoZero"/>
        <c:crossBetween val="midCat"/>
      </c:valAx>
      <c:valAx>
        <c:axId val="4484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39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корреляция!$I$2</c:f>
              <c:strCache>
                <c:ptCount val="1"/>
                <c:pt idx="0">
                  <c:v>Капитализация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корреляция!$G$3:$G$97</c:f>
              <c:numCache>
                <c:formatCode>General</c:formatCode>
                <c:ptCount val="95"/>
                <c:pt idx="4">
                  <c:v>22365685273.111938</c:v>
                </c:pt>
                <c:pt idx="5">
                  <c:v>19098896802.700932</c:v>
                </c:pt>
                <c:pt idx="6">
                  <c:v>20890366203.123539</c:v>
                </c:pt>
                <c:pt idx="7">
                  <c:v>21271478503.63147</c:v>
                </c:pt>
                <c:pt idx="8">
                  <c:v>15284604928.39233</c:v>
                </c:pt>
                <c:pt idx="9">
                  <c:v>27949731745.430908</c:v>
                </c:pt>
                <c:pt idx="10">
                  <c:v>17999545861.286251</c:v>
                </c:pt>
                <c:pt idx="11">
                  <c:v>31459057660.71228</c:v>
                </c:pt>
                <c:pt idx="12">
                  <c:v>28947190453.946659</c:v>
                </c:pt>
                <c:pt idx="13">
                  <c:v>27134593582.610111</c:v>
                </c:pt>
                <c:pt idx="14">
                  <c:v>29991428422.758179</c:v>
                </c:pt>
                <c:pt idx="15">
                  <c:v>29702302768.69714</c:v>
                </c:pt>
                <c:pt idx="16">
                  <c:v>29665253907.291752</c:v>
                </c:pt>
                <c:pt idx="17">
                  <c:v>35744467966.165527</c:v>
                </c:pt>
                <c:pt idx="18">
                  <c:v>36153234535.322632</c:v>
                </c:pt>
                <c:pt idx="19">
                  <c:v>38789072710.564453</c:v>
                </c:pt>
                <c:pt idx="20">
                  <c:v>36409234360.20459</c:v>
                </c:pt>
                <c:pt idx="21">
                  <c:v>45256640253.738037</c:v>
                </c:pt>
                <c:pt idx="22">
                  <c:v>47863732022.253662</c:v>
                </c:pt>
                <c:pt idx="23">
                  <c:v>72543000874.386719</c:v>
                </c:pt>
                <c:pt idx="24">
                  <c:v>41056412096.604248</c:v>
                </c:pt>
                <c:pt idx="25">
                  <c:v>38414637367.023682</c:v>
                </c:pt>
                <c:pt idx="26">
                  <c:v>44837597852.805183</c:v>
                </c:pt>
                <c:pt idx="27">
                  <c:v>43046273703.518311</c:v>
                </c:pt>
                <c:pt idx="28">
                  <c:v>43164975426.428711</c:v>
                </c:pt>
                <c:pt idx="29">
                  <c:v>42207961314.847412</c:v>
                </c:pt>
                <c:pt idx="30">
                  <c:v>11449712292.08643</c:v>
                </c:pt>
                <c:pt idx="31">
                  <c:v>22465130090.94751</c:v>
                </c:pt>
                <c:pt idx="32">
                  <c:v>54397795125.311768</c:v>
                </c:pt>
                <c:pt idx="33">
                  <c:v>71989223105.730469</c:v>
                </c:pt>
                <c:pt idx="34">
                  <c:v>61629275895.987061</c:v>
                </c:pt>
                <c:pt idx="35">
                  <c:v>60081966598.706047</c:v>
                </c:pt>
                <c:pt idx="36">
                  <c:v>59598368915.152832</c:v>
                </c:pt>
                <c:pt idx="37">
                  <c:v>59491758773.897949</c:v>
                </c:pt>
                <c:pt idx="38">
                  <c:v>55831875422.939697</c:v>
                </c:pt>
                <c:pt idx="39">
                  <c:v>65557255207.89209</c:v>
                </c:pt>
                <c:pt idx="40">
                  <c:v>63136115126.487793</c:v>
                </c:pt>
                <c:pt idx="41">
                  <c:v>51327960762.069092</c:v>
                </c:pt>
                <c:pt idx="42">
                  <c:v>29173304499.44067</c:v>
                </c:pt>
                <c:pt idx="43">
                  <c:v>34752816621.779793</c:v>
                </c:pt>
                <c:pt idx="44">
                  <c:v>48355040491.849609</c:v>
                </c:pt>
                <c:pt idx="45">
                  <c:v>43035029961.930183</c:v>
                </c:pt>
                <c:pt idx="46">
                  <c:v>39940234013.708008</c:v>
                </c:pt>
                <c:pt idx="47">
                  <c:v>50258620898.802727</c:v>
                </c:pt>
                <c:pt idx="48">
                  <c:v>34340826088.606449</c:v>
                </c:pt>
                <c:pt idx="49">
                  <c:v>45981111894.420898</c:v>
                </c:pt>
                <c:pt idx="50">
                  <c:v>45149609989.893066</c:v>
                </c:pt>
                <c:pt idx="51">
                  <c:v>35558061882.318848</c:v>
                </c:pt>
                <c:pt idx="52">
                  <c:v>41672478895.039551</c:v>
                </c:pt>
                <c:pt idx="53">
                  <c:v>51458961265.084961</c:v>
                </c:pt>
                <c:pt idx="54">
                  <c:v>34957437732.713379</c:v>
                </c:pt>
                <c:pt idx="55">
                  <c:v>35578876765.390137</c:v>
                </c:pt>
                <c:pt idx="56">
                  <c:v>36819355619.98584</c:v>
                </c:pt>
                <c:pt idx="57">
                  <c:v>36275538765.551758</c:v>
                </c:pt>
                <c:pt idx="58">
                  <c:v>34836814167.04541</c:v>
                </c:pt>
                <c:pt idx="59">
                  <c:v>30395990362.838871</c:v>
                </c:pt>
                <c:pt idx="60">
                  <c:v>57163028464.657227</c:v>
                </c:pt>
                <c:pt idx="61">
                  <c:v>63523365083.56543</c:v>
                </c:pt>
                <c:pt idx="62">
                  <c:v>72269655293.069336</c:v>
                </c:pt>
                <c:pt idx="63">
                  <c:v>83973824746.084473</c:v>
                </c:pt>
                <c:pt idx="64">
                  <c:v>68955290532.081543</c:v>
                </c:pt>
                <c:pt idx="65">
                  <c:v>65883454786.489258</c:v>
                </c:pt>
                <c:pt idx="66">
                  <c:v>53829725926.86377</c:v>
                </c:pt>
                <c:pt idx="67">
                  <c:v>62921675254.210449</c:v>
                </c:pt>
                <c:pt idx="68">
                  <c:v>51817466776.975098</c:v>
                </c:pt>
                <c:pt idx="69">
                  <c:v>49502804198.558113</c:v>
                </c:pt>
                <c:pt idx="70">
                  <c:v>48157148775.172363</c:v>
                </c:pt>
                <c:pt idx="71">
                  <c:v>225746785824.6221</c:v>
                </c:pt>
                <c:pt idx="72">
                  <c:v>-156096268896.2178</c:v>
                </c:pt>
                <c:pt idx="73">
                  <c:v>32201921135.297852</c:v>
                </c:pt>
                <c:pt idx="74">
                  <c:v>-51276172115.609863</c:v>
                </c:pt>
                <c:pt idx="75">
                  <c:v>50463011212.617188</c:v>
                </c:pt>
                <c:pt idx="76">
                  <c:v>-59525985088.243156</c:v>
                </c:pt>
                <c:pt idx="77">
                  <c:v>194898965815.84909</c:v>
                </c:pt>
                <c:pt idx="78">
                  <c:v>78644322893.984863</c:v>
                </c:pt>
                <c:pt idx="79">
                  <c:v>327658968291.99072</c:v>
                </c:pt>
                <c:pt idx="80">
                  <c:v>-144672092886.7822</c:v>
                </c:pt>
                <c:pt idx="81">
                  <c:v>100840707965.17191</c:v>
                </c:pt>
                <c:pt idx="82">
                  <c:v>104947254696.08501</c:v>
                </c:pt>
                <c:pt idx="83">
                  <c:v>107983137961.2832</c:v>
                </c:pt>
                <c:pt idx="84">
                  <c:v>-238403711786.87891</c:v>
                </c:pt>
                <c:pt idx="85">
                  <c:v>165756949581.9263</c:v>
                </c:pt>
                <c:pt idx="86">
                  <c:v>16201263446.697269</c:v>
                </c:pt>
                <c:pt idx="87">
                  <c:v>185405026240.34769</c:v>
                </c:pt>
                <c:pt idx="88">
                  <c:v>-44314345903.189453</c:v>
                </c:pt>
                <c:pt idx="89">
                  <c:v>60420715860.742188</c:v>
                </c:pt>
                <c:pt idx="90">
                  <c:v>-409555778.21191412</c:v>
                </c:pt>
                <c:pt idx="91">
                  <c:v>118577547320.0195</c:v>
                </c:pt>
                <c:pt idx="92">
                  <c:v>29305411054.203121</c:v>
                </c:pt>
                <c:pt idx="93">
                  <c:v>29841251124.300781</c:v>
                </c:pt>
                <c:pt idx="94">
                  <c:v>29476776246.074219</c:v>
                </c:pt>
              </c:numCache>
            </c:numRef>
          </c:xVal>
          <c:yVal>
            <c:numRef>
              <c:f>корреляция!$I$3:$I$97</c:f>
              <c:numCache>
                <c:formatCode>General</c:formatCode>
                <c:ptCount val="95"/>
                <c:pt idx="4">
                  <c:v>119741090911.8488</c:v>
                </c:pt>
                <c:pt idx="5">
                  <c:v>-70863382408.631958</c:v>
                </c:pt>
                <c:pt idx="6">
                  <c:v>-144908519488.8656</c:v>
                </c:pt>
                <c:pt idx="7">
                  <c:v>84291037748.985352</c:v>
                </c:pt>
                <c:pt idx="8">
                  <c:v>-13660108961.38245</c:v>
                </c:pt>
                <c:pt idx="9">
                  <c:v>-51792080000.729134</c:v>
                </c:pt>
                <c:pt idx="10">
                  <c:v>50489039966.854492</c:v>
                </c:pt>
                <c:pt idx="11">
                  <c:v>156951705044.2124</c:v>
                </c:pt>
                <c:pt idx="12">
                  <c:v>-221309389206.70459</c:v>
                </c:pt>
                <c:pt idx="13">
                  <c:v>10164016650.08386</c:v>
                </c:pt>
                <c:pt idx="14">
                  <c:v>-90466930184.542725</c:v>
                </c:pt>
                <c:pt idx="15">
                  <c:v>-59375930073.177856</c:v>
                </c:pt>
                <c:pt idx="16">
                  <c:v>-63434651937.915527</c:v>
                </c:pt>
                <c:pt idx="17">
                  <c:v>39708953217.419678</c:v>
                </c:pt>
                <c:pt idx="18">
                  <c:v>-26068532431.759769</c:v>
                </c:pt>
                <c:pt idx="19">
                  <c:v>50775701332.375</c:v>
                </c:pt>
                <c:pt idx="20">
                  <c:v>189873000242.0155</c:v>
                </c:pt>
                <c:pt idx="21">
                  <c:v>173357705015.94031</c:v>
                </c:pt>
                <c:pt idx="22">
                  <c:v>760872255613.96704</c:v>
                </c:pt>
                <c:pt idx="23">
                  <c:v>745131672863.64185</c:v>
                </c:pt>
                <c:pt idx="24">
                  <c:v>766194974212.06396</c:v>
                </c:pt>
                <c:pt idx="25">
                  <c:v>1655276414282.3459</c:v>
                </c:pt>
                <c:pt idx="26">
                  <c:v>1361018063778.9409</c:v>
                </c:pt>
                <c:pt idx="27">
                  <c:v>-2116064506999.9089</c:v>
                </c:pt>
                <c:pt idx="28">
                  <c:v>-924125972219.19629</c:v>
                </c:pt>
                <c:pt idx="29">
                  <c:v>-555797049429.14014</c:v>
                </c:pt>
                <c:pt idx="30">
                  <c:v>-484141302206.63281</c:v>
                </c:pt>
                <c:pt idx="31">
                  <c:v>751836965927.95508</c:v>
                </c:pt>
                <c:pt idx="32">
                  <c:v>787823504371.01807</c:v>
                </c:pt>
                <c:pt idx="33">
                  <c:v>-88098582826.126953</c:v>
                </c:pt>
                <c:pt idx="34">
                  <c:v>858704826210.49023</c:v>
                </c:pt>
                <c:pt idx="35">
                  <c:v>-69001501431.794922</c:v>
                </c:pt>
                <c:pt idx="36">
                  <c:v>-920946432673.34863</c:v>
                </c:pt>
                <c:pt idx="37">
                  <c:v>786619590468.09961</c:v>
                </c:pt>
                <c:pt idx="38">
                  <c:v>387271858215.64447</c:v>
                </c:pt>
                <c:pt idx="39">
                  <c:v>98821891586.405273</c:v>
                </c:pt>
                <c:pt idx="40">
                  <c:v>-263410661511.57031</c:v>
                </c:pt>
                <c:pt idx="41">
                  <c:v>-614185950085.56006</c:v>
                </c:pt>
                <c:pt idx="42">
                  <c:v>-310325517325.85992</c:v>
                </c:pt>
                <c:pt idx="43">
                  <c:v>109847294003.8091</c:v>
                </c:pt>
                <c:pt idx="44">
                  <c:v>39912618464.874023</c:v>
                </c:pt>
                <c:pt idx="45">
                  <c:v>-215606659246.16599</c:v>
                </c:pt>
                <c:pt idx="46">
                  <c:v>253702356145.41501</c:v>
                </c:pt>
                <c:pt idx="47">
                  <c:v>-20765540850.354</c:v>
                </c:pt>
                <c:pt idx="48">
                  <c:v>-331249508257.396</c:v>
                </c:pt>
                <c:pt idx="49">
                  <c:v>455117456376.33301</c:v>
                </c:pt>
                <c:pt idx="50">
                  <c:v>-69290610317.100098</c:v>
                </c:pt>
                <c:pt idx="51">
                  <c:v>-91897094766.565918</c:v>
                </c:pt>
                <c:pt idx="52">
                  <c:v>143539428150.66159</c:v>
                </c:pt>
                <c:pt idx="53">
                  <c:v>794707558800.92969</c:v>
                </c:pt>
                <c:pt idx="54">
                  <c:v>1267180776463.8579</c:v>
                </c:pt>
                <c:pt idx="55">
                  <c:v>1614373809015.3601</c:v>
                </c:pt>
                <c:pt idx="56">
                  <c:v>1760013157255.5481</c:v>
                </c:pt>
                <c:pt idx="57">
                  <c:v>-2708612827588.6479</c:v>
                </c:pt>
                <c:pt idx="58">
                  <c:v>1789820684877.325</c:v>
                </c:pt>
                <c:pt idx="59">
                  <c:v>-1358915741040.3899</c:v>
                </c:pt>
                <c:pt idx="60">
                  <c:v>161843425288.66891</c:v>
                </c:pt>
                <c:pt idx="61">
                  <c:v>331263813166</c:v>
                </c:pt>
                <c:pt idx="62">
                  <c:v>315672247818.76563</c:v>
                </c:pt>
                <c:pt idx="63">
                  <c:v>415561245101.49219</c:v>
                </c:pt>
                <c:pt idx="64">
                  <c:v>-60293840764.364258</c:v>
                </c:pt>
                <c:pt idx="65">
                  <c:v>515674295066.14648</c:v>
                </c:pt>
                <c:pt idx="66">
                  <c:v>-98990565457.986328</c:v>
                </c:pt>
                <c:pt idx="67">
                  <c:v>-227888333639.93851</c:v>
                </c:pt>
                <c:pt idx="68">
                  <c:v>-789169203316.62598</c:v>
                </c:pt>
                <c:pt idx="69">
                  <c:v>-334824154733.11719</c:v>
                </c:pt>
                <c:pt idx="70">
                  <c:v>-824938352149.51367</c:v>
                </c:pt>
                <c:pt idx="71">
                  <c:v>1845978875002.1421</c:v>
                </c:pt>
                <c:pt idx="72">
                  <c:v>-408678063064.08502</c:v>
                </c:pt>
                <c:pt idx="73">
                  <c:v>55035151579.200203</c:v>
                </c:pt>
                <c:pt idx="74">
                  <c:v>526304511374.96973</c:v>
                </c:pt>
                <c:pt idx="75">
                  <c:v>-569315683878.27246</c:v>
                </c:pt>
                <c:pt idx="76">
                  <c:v>1407575707761.2141</c:v>
                </c:pt>
                <c:pt idx="77">
                  <c:v>1022925398567.809</c:v>
                </c:pt>
                <c:pt idx="78">
                  <c:v>1078314231836.3199</c:v>
                </c:pt>
                <c:pt idx="79">
                  <c:v>-356556711270.68951</c:v>
                </c:pt>
                <c:pt idx="80">
                  <c:v>1216101194882.719</c:v>
                </c:pt>
                <c:pt idx="81">
                  <c:v>37475153618.980469</c:v>
                </c:pt>
                <c:pt idx="82">
                  <c:v>587327845693.65039</c:v>
                </c:pt>
                <c:pt idx="83">
                  <c:v>-1667335961067.8611</c:v>
                </c:pt>
                <c:pt idx="84">
                  <c:v>553038067266.49023</c:v>
                </c:pt>
                <c:pt idx="85">
                  <c:v>-1286556623337.6599</c:v>
                </c:pt>
                <c:pt idx="86">
                  <c:v>382035476682.08978</c:v>
                </c:pt>
                <c:pt idx="87">
                  <c:v>820929774784.4707</c:v>
                </c:pt>
                <c:pt idx="88">
                  <c:v>-146950422257.95901</c:v>
                </c:pt>
                <c:pt idx="89">
                  <c:v>-466305770391.48053</c:v>
                </c:pt>
                <c:pt idx="90">
                  <c:v>-380022221622.34961</c:v>
                </c:pt>
                <c:pt idx="91">
                  <c:v>-113833957966.2617</c:v>
                </c:pt>
                <c:pt idx="92">
                  <c:v>-454797362529.43951</c:v>
                </c:pt>
                <c:pt idx="93">
                  <c:v>1465918895759.73</c:v>
                </c:pt>
                <c:pt idx="94">
                  <c:v>219713772164.25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9-43A6-AD76-B9BAF5AEA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97263"/>
        <c:axId val="448397679"/>
      </c:scatterChart>
      <c:valAx>
        <c:axId val="44839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397679"/>
        <c:crosses val="autoZero"/>
        <c:crossBetween val="midCat"/>
      </c:valAx>
      <c:valAx>
        <c:axId val="4483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39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552000</xdr:colOff>
      <xdr:row>26</xdr:row>
      <xdr:rowOff>142425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552000</xdr:colOff>
      <xdr:row>26</xdr:row>
      <xdr:rowOff>142425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6045.409578819446" createdVersion="6" refreshedVersion="6" minRefreshableVersion="3" recordCount="1152">
  <cacheSource type="worksheet">
    <worksheetSource ref="A1:D1153" sheet="данные"/>
  </cacheSource>
  <cacheFields count="6">
    <cacheField name="Страна" numFmtId="0">
      <sharedItems count="2">
        <s v="Индия"/>
        <s v="Китай"/>
      </sharedItems>
    </cacheField>
    <cacheField name="report_date" numFmtId="164">
      <sharedItems containsSemiMixedTypes="0" containsNonDate="0" containsDate="1" containsString="0" minDate="2001-03-31T00:00:00" maxDate="2025-01-01T00:00:00" count="96">
        <d v="2001-03-31T00:00:00"/>
        <d v="2001-06-30T00:00:00"/>
        <d v="2001-09-30T00:00:00"/>
        <d v="2001-12-31T00:00:00"/>
        <d v="2002-03-31T00:00:00"/>
        <d v="2002-06-30T00:00:00"/>
        <d v="2002-09-30T00:00:00"/>
        <d v="2002-12-31T00:00:00"/>
        <d v="2003-03-31T00:00:00"/>
        <d v="2003-06-30T00:00:00"/>
        <d v="2003-09-30T00:00:00"/>
        <d v="2003-12-31T00:00:00"/>
        <d v="2004-03-31T00:00:00"/>
        <d v="2004-06-30T00:00:00"/>
        <d v="2004-09-30T00:00:00"/>
        <d v="2004-12-31T00:00:00"/>
        <d v="2005-03-31T00:00:00"/>
        <d v="2005-06-30T00:00:00"/>
        <d v="2005-09-30T00:00:00"/>
        <d v="2005-12-31T00:00:00"/>
        <d v="2006-03-31T00:00:00"/>
        <d v="2006-06-30T00:00:00"/>
        <d v="2006-09-30T00:00:00"/>
        <d v="2006-12-31T00:00:00"/>
        <d v="2007-03-31T00:00:00"/>
        <d v="2007-06-30T00:00:00"/>
        <d v="2007-09-30T00:00:00"/>
        <d v="2007-12-31T00:00:00"/>
        <d v="2008-03-31T00:00:00"/>
        <d v="2008-06-30T00:00:00"/>
        <d v="2008-09-30T00:00:00"/>
        <d v="2008-12-31T00:00:00"/>
        <d v="2009-03-31T00:00:00"/>
        <d v="2009-06-30T00:00:00"/>
        <d v="2009-09-30T00:00:00"/>
        <d v="2009-12-31T00:00:00"/>
        <d v="2010-03-31T00:00:00"/>
        <d v="2010-06-30T00:00:00"/>
        <d v="2010-09-30T00:00:00"/>
        <d v="2010-12-31T00:00:00"/>
        <d v="2011-03-31T00:00:00"/>
        <d v="2011-06-30T00:00:00"/>
        <d v="2011-09-30T00:00:00"/>
        <d v="2011-12-31T00:00:00"/>
        <d v="2012-03-31T00:00:00"/>
        <d v="2012-06-30T00:00:00"/>
        <d v="2012-09-30T00:00:00"/>
        <d v="2012-12-31T00:00:00"/>
        <d v="2013-03-31T00:00:00"/>
        <d v="2013-06-30T00:00:00"/>
        <d v="2013-09-30T00:00:00"/>
        <d v="2013-12-31T00:00:00"/>
        <d v="2014-03-31T00:00:00"/>
        <d v="2014-06-30T00:00:00"/>
        <d v="2014-09-30T00:00:00"/>
        <d v="2014-12-31T00:00:00"/>
        <d v="2015-03-31T00:00:00"/>
        <d v="2015-06-30T00:00:00"/>
        <d v="2015-09-30T00:00:00"/>
        <d v="2015-12-31T00:00:00"/>
        <d v="2016-03-31T00:00:00"/>
        <d v="2016-06-30T00:00:00"/>
        <d v="2016-09-30T00:00:00"/>
        <d v="2016-12-31T00:00:00"/>
        <d v="2017-03-31T00:00:00"/>
        <d v="2017-06-30T00:00:00"/>
        <d v="2017-09-30T00:00:00"/>
        <d v="2017-12-31T00:00:00"/>
        <d v="2018-03-31T00:00:00"/>
        <d v="2018-06-30T00:00:00"/>
        <d v="2018-09-30T00:00:00"/>
        <d v="2018-12-31T00:00:00"/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  <d v="2024-03-31T00:00:00"/>
        <d v="2024-06-30T00:00:00"/>
        <d v="2024-09-30T00:00:00"/>
        <d v="2024-12-31T00:00:00"/>
      </sharedItems>
      <fieldGroup par="5" base="1">
        <rangePr groupBy="months" startDate="2001-03-31T00:00:00" endDate="2025-01-01T00:00:00"/>
        <groupItems count="14">
          <s v="&lt;31.03.2001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5"/>
        </groupItems>
      </fieldGroup>
    </cacheField>
    <cacheField name="variable" numFmtId="0">
      <sharedItems count="6">
        <s v="ВВП"/>
        <s v="Волатильность"/>
        <s v="Цена/прибыль"/>
        <s v="Капитализация"/>
        <s v="Объем торгов"/>
        <s v="Оборачиваемость"/>
      </sharedItems>
    </cacheField>
    <cacheField name="value" numFmtId="0">
      <sharedItems containsString="0" containsBlank="1" containsNumber="1" minValue="-6173576145869.4629" maxValue="9517581623255.125"/>
    </cacheField>
    <cacheField name="Кварталы" numFmtId="0" databaseField="0">
      <fieldGroup base="1">
        <rangePr groupBy="quarters" startDate="2001-03-31T00:00:00" endDate="2025-01-01T00:00:00"/>
        <groupItems count="6">
          <s v="&lt;31.03.2001"/>
          <s v="Кв-л1"/>
          <s v="Кв-л2"/>
          <s v="Кв-л3"/>
          <s v="Кв-л4"/>
          <s v="&gt;01.01.2025"/>
        </groupItems>
      </fieldGroup>
    </cacheField>
    <cacheField name="Годы" numFmtId="0" databaseField="0">
      <fieldGroup base="1">
        <rangePr groupBy="years" startDate="2001-03-31T00:00:00" endDate="2025-01-01T00:00:00"/>
        <groupItems count="27">
          <s v="&lt;31.03.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.0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2">
  <r>
    <x v="0"/>
    <x v="0"/>
    <x v="0"/>
    <m/>
  </r>
  <r>
    <x v="0"/>
    <x v="1"/>
    <x v="0"/>
    <n v="2549143231.7150569"/>
  </r>
  <r>
    <x v="0"/>
    <x v="2"/>
    <x v="0"/>
    <n v="1698448543.4269409"/>
  </r>
  <r>
    <x v="0"/>
    <x v="3"/>
    <x v="0"/>
    <n v="3025860058.390686"/>
  </r>
  <r>
    <x v="0"/>
    <x v="4"/>
    <x v="0"/>
    <n v="832857559.14263916"/>
  </r>
  <r>
    <x v="0"/>
    <x v="5"/>
    <x v="0"/>
    <n v="2168472999.8249512"/>
  </r>
  <r>
    <x v="0"/>
    <x v="6"/>
    <x v="0"/>
    <n v="2503445077.0845342"/>
  </r>
  <r>
    <x v="0"/>
    <x v="7"/>
    <x v="0"/>
    <n v="-722459970.69140625"/>
  </r>
  <r>
    <x v="0"/>
    <x v="8"/>
    <x v="0"/>
    <n v="8240148137.0823975"/>
  </r>
  <r>
    <x v="0"/>
    <x v="9"/>
    <x v="0"/>
    <n v="504060762.23660278"/>
  </r>
  <r>
    <x v="0"/>
    <x v="10"/>
    <x v="0"/>
    <n v="6928465384.148407"/>
  </r>
  <r>
    <x v="0"/>
    <x v="11"/>
    <x v="0"/>
    <n v="11575918066.31723"/>
  </r>
  <r>
    <x v="0"/>
    <x v="12"/>
    <x v="0"/>
    <n v="-1662278822.9073789"/>
  </r>
  <r>
    <x v="0"/>
    <x v="13"/>
    <x v="0"/>
    <n v="12910867799.14444"/>
  </r>
  <r>
    <x v="0"/>
    <x v="14"/>
    <x v="0"/>
    <n v="10044332633.155239"/>
  </r>
  <r>
    <x v="0"/>
    <x v="15"/>
    <x v="0"/>
    <n v="-2194251890.9832759"/>
  </r>
  <r>
    <x v="0"/>
    <x v="16"/>
    <x v="0"/>
    <n v="9111213392.6320801"/>
  </r>
  <r>
    <x v="0"/>
    <x v="17"/>
    <x v="0"/>
    <n v="7627254101.9596252"/>
  </r>
  <r>
    <x v="0"/>
    <x v="18"/>
    <x v="0"/>
    <n v="-604015388.35247803"/>
  </r>
  <r>
    <x v="0"/>
    <x v="19"/>
    <x v="0"/>
    <n v="8627283750.9066162"/>
  </r>
  <r>
    <x v="0"/>
    <x v="20"/>
    <x v="0"/>
    <n v="9580139700.8459473"/>
  </r>
  <r>
    <x v="0"/>
    <x v="21"/>
    <x v="0"/>
    <n v="-2781269107.864502"/>
  </r>
  <r>
    <x v="0"/>
    <x v="22"/>
    <x v="0"/>
    <n v="10832727167.85046"/>
  </r>
  <r>
    <x v="0"/>
    <x v="23"/>
    <x v="0"/>
    <n v="35621935.827087402"/>
  </r>
  <r>
    <x v="0"/>
    <x v="24"/>
    <x v="0"/>
    <n v="8136337791.1976929"/>
  </r>
  <r>
    <x v="0"/>
    <x v="25"/>
    <x v="0"/>
    <n v="8670413078.5150757"/>
  </r>
  <r>
    <x v="0"/>
    <x v="26"/>
    <x v="0"/>
    <n v="8140655610.3591919"/>
  </r>
  <r>
    <x v="0"/>
    <x v="27"/>
    <x v="0"/>
    <n v="13886835457.570681"/>
  </r>
  <r>
    <x v="0"/>
    <x v="28"/>
    <x v="0"/>
    <n v="919576776.59661865"/>
  </r>
  <r>
    <x v="0"/>
    <x v="29"/>
    <x v="0"/>
    <n v="30847697442.42749"/>
  </r>
  <r>
    <x v="0"/>
    <x v="30"/>
    <x v="0"/>
    <n v="4203693441.1933589"/>
  </r>
  <r>
    <x v="0"/>
    <x v="31"/>
    <x v="0"/>
    <n v="-17206216871.401058"/>
  </r>
  <r>
    <x v="0"/>
    <x v="32"/>
    <x v="0"/>
    <n v="636446766.72503662"/>
  </r>
  <r>
    <x v="0"/>
    <x v="33"/>
    <x v="0"/>
    <n v="7141568060.4303589"/>
  </r>
  <r>
    <x v="0"/>
    <x v="34"/>
    <x v="0"/>
    <n v="5232581359.2958984"/>
  </r>
  <r>
    <x v="0"/>
    <x v="35"/>
    <x v="0"/>
    <n v="986354952.9329834"/>
  </r>
  <r>
    <x v="0"/>
    <x v="36"/>
    <x v="0"/>
    <n v="11340075031.38489"/>
  </r>
  <r>
    <x v="0"/>
    <x v="37"/>
    <x v="0"/>
    <n v="5412342166.982605"/>
  </r>
  <r>
    <x v="0"/>
    <x v="38"/>
    <x v="0"/>
    <n v="11296354621.93866"/>
  </r>
  <r>
    <x v="0"/>
    <x v="39"/>
    <x v="0"/>
    <n v="5746229347.1029053"/>
  </r>
  <r>
    <x v="0"/>
    <x v="40"/>
    <x v="0"/>
    <n v="6682430477.8519897"/>
  </r>
  <r>
    <x v="0"/>
    <x v="41"/>
    <x v="0"/>
    <n v="9960433979.6413574"/>
  </r>
  <r>
    <x v="0"/>
    <x v="42"/>
    <x v="0"/>
    <n v="-5523320390.7730103"/>
  </r>
  <r>
    <x v="0"/>
    <x v="43"/>
    <x v="0"/>
    <n v="-6828405451.128418"/>
  </r>
  <r>
    <x v="0"/>
    <x v="44"/>
    <x v="0"/>
    <n v="26922527798.941349"/>
  </r>
  <r>
    <x v="0"/>
    <x v="45"/>
    <x v="0"/>
    <n v="-1317401939.8887939"/>
  </r>
  <r>
    <x v="0"/>
    <x v="46"/>
    <x v="0"/>
    <n v="3654107074.7868652"/>
  </r>
  <r>
    <x v="0"/>
    <x v="47"/>
    <x v="0"/>
    <n v="-112805675.4193726"/>
  </r>
  <r>
    <x v="0"/>
    <x v="48"/>
    <x v="0"/>
    <n v="1660980246.7276001"/>
  </r>
  <r>
    <x v="0"/>
    <x v="49"/>
    <x v="0"/>
    <n v="-12160382977.89185"/>
  </r>
  <r>
    <x v="0"/>
    <x v="50"/>
    <x v="0"/>
    <n v="15997202682.853331"/>
  </r>
  <r>
    <x v="0"/>
    <x v="51"/>
    <x v="0"/>
    <n v="4216362177.2817378"/>
  </r>
  <r>
    <x v="0"/>
    <x v="52"/>
    <x v="0"/>
    <n v="306455298.21252441"/>
  </r>
  <r>
    <x v="0"/>
    <x v="53"/>
    <x v="0"/>
    <n v="2115920415.382812"/>
  </r>
  <r>
    <x v="0"/>
    <x v="54"/>
    <x v="0"/>
    <n v="2309925326.417542"/>
  </r>
  <r>
    <x v="0"/>
    <x v="55"/>
    <x v="0"/>
    <n v="3833529385.1532588"/>
  </r>
  <r>
    <x v="0"/>
    <x v="56"/>
    <x v="0"/>
    <n v="-963956483.29608154"/>
  </r>
  <r>
    <x v="0"/>
    <x v="57"/>
    <x v="0"/>
    <n v="10749613545.781191"/>
  </r>
  <r>
    <x v="0"/>
    <x v="58"/>
    <x v="0"/>
    <n v="16864358201.718691"/>
  </r>
  <r>
    <x v="0"/>
    <x v="59"/>
    <x v="0"/>
    <n v="-10550670463.38159"/>
  </r>
  <r>
    <x v="0"/>
    <x v="60"/>
    <x v="0"/>
    <n v="7663788336.9546509"/>
  </r>
  <r>
    <x v="0"/>
    <x v="61"/>
    <x v="0"/>
    <n v="9738890254.5437012"/>
  </r>
  <r>
    <x v="0"/>
    <x v="62"/>
    <x v="0"/>
    <n v="11231805422.060301"/>
  </r>
  <r>
    <x v="0"/>
    <x v="63"/>
    <x v="0"/>
    <n v="9217453089.8954468"/>
  </r>
  <r>
    <x v="0"/>
    <x v="64"/>
    <x v="0"/>
    <n v="14801327631.200871"/>
  </r>
  <r>
    <x v="0"/>
    <x v="65"/>
    <x v="0"/>
    <n v="4330719719.4945068"/>
  </r>
  <r>
    <x v="0"/>
    <x v="66"/>
    <x v="0"/>
    <n v="12583737488.52393"/>
  </r>
  <r>
    <x v="0"/>
    <x v="67"/>
    <x v="0"/>
    <n v="11374530900.835079"/>
  </r>
  <r>
    <x v="0"/>
    <x v="68"/>
    <x v="0"/>
    <n v="8778666827.68396"/>
  </r>
  <r>
    <x v="0"/>
    <x v="69"/>
    <x v="0"/>
    <n v="10556989584.536249"/>
  </r>
  <r>
    <x v="0"/>
    <x v="70"/>
    <x v="0"/>
    <n v="132844553.7626953"/>
  </r>
  <r>
    <x v="0"/>
    <x v="71"/>
    <x v="0"/>
    <n v="5435314547.7171631"/>
  </r>
  <r>
    <x v="0"/>
    <x v="72"/>
    <x v="0"/>
    <n v="-6612869543.7607422"/>
  </r>
  <r>
    <x v="0"/>
    <x v="73"/>
    <x v="0"/>
    <n v="918583885.14611816"/>
  </r>
  <r>
    <x v="0"/>
    <x v="74"/>
    <x v="0"/>
    <n v="-3413021600.0915532"/>
  </r>
  <r>
    <x v="0"/>
    <x v="75"/>
    <x v="0"/>
    <n v="-5071033487.4876709"/>
  </r>
  <r>
    <x v="0"/>
    <x v="76"/>
    <x v="0"/>
    <n v="-5450845158.3652344"/>
  </r>
  <r>
    <x v="0"/>
    <x v="77"/>
    <x v="0"/>
    <n v="-96122138674.753113"/>
  </r>
  <r>
    <x v="0"/>
    <x v="78"/>
    <x v="0"/>
    <n v="62741969034.67572"/>
  </r>
  <r>
    <x v="0"/>
    <x v="79"/>
    <x v="0"/>
    <n v="42205223567.319817"/>
  </r>
  <r>
    <x v="0"/>
    <x v="80"/>
    <x v="0"/>
    <n v="14394651560.153561"/>
  </r>
  <r>
    <x v="0"/>
    <x v="81"/>
    <x v="0"/>
    <n v="8199631366.9287109"/>
  </r>
  <r>
    <x v="0"/>
    <x v="82"/>
    <x v="0"/>
    <n v="12683052200.77002"/>
  </r>
  <r>
    <x v="0"/>
    <x v="83"/>
    <x v="0"/>
    <n v="17787000261.514771"/>
  </r>
  <r>
    <x v="0"/>
    <x v="84"/>
    <x v="0"/>
    <n v="11925199737.695801"/>
  </r>
  <r>
    <x v="0"/>
    <x v="85"/>
    <x v="0"/>
    <n v="50401648766.076538"/>
  </r>
  <r>
    <x v="0"/>
    <x v="86"/>
    <x v="0"/>
    <n v="-35947066948.485718"/>
  </r>
  <r>
    <x v="0"/>
    <x v="87"/>
    <x v="0"/>
    <n v="-183815548.78991699"/>
  </r>
  <r>
    <x v="0"/>
    <x v="88"/>
    <x v="0"/>
    <n v="12809591771.390141"/>
  </r>
  <r>
    <x v="0"/>
    <x v="89"/>
    <x v="0"/>
    <n v="34232257881.370609"/>
  </r>
  <r>
    <x v="0"/>
    <x v="90"/>
    <x v="0"/>
    <n v="-7596112629.2683105"/>
  </r>
  <r>
    <x v="0"/>
    <x v="91"/>
    <x v="0"/>
    <n v="7959698024.3986816"/>
  </r>
  <r>
    <x v="0"/>
    <x v="92"/>
    <x v="0"/>
    <n v="12393480982.28064"/>
  </r>
  <r>
    <x v="0"/>
    <x v="93"/>
    <x v="0"/>
    <n v="12240913740.20776"/>
  </r>
  <r>
    <x v="0"/>
    <x v="94"/>
    <x v="0"/>
    <n v="9349923914.642334"/>
  </r>
  <r>
    <x v="0"/>
    <x v="95"/>
    <x v="0"/>
    <n v="15744208929.186769"/>
  </r>
  <r>
    <x v="1"/>
    <x v="0"/>
    <x v="0"/>
    <m/>
  </r>
  <r>
    <x v="1"/>
    <x v="1"/>
    <x v="0"/>
    <n v="14833100171.522341"/>
  </r>
  <r>
    <x v="1"/>
    <x v="2"/>
    <x v="0"/>
    <n v="15413798966.53455"/>
  </r>
  <r>
    <x v="1"/>
    <x v="3"/>
    <x v="0"/>
    <n v="16699950983.866091"/>
  </r>
  <r>
    <x v="1"/>
    <x v="4"/>
    <x v="0"/>
    <n v="12880348813.42017"/>
  </r>
  <r>
    <x v="1"/>
    <x v="5"/>
    <x v="0"/>
    <n v="22365685273.111938"/>
  </r>
  <r>
    <x v="1"/>
    <x v="6"/>
    <x v="0"/>
    <n v="19098896802.700932"/>
  </r>
  <r>
    <x v="1"/>
    <x v="7"/>
    <x v="0"/>
    <n v="20890366203.123539"/>
  </r>
  <r>
    <x v="1"/>
    <x v="8"/>
    <x v="0"/>
    <n v="21271478503.63147"/>
  </r>
  <r>
    <x v="1"/>
    <x v="9"/>
    <x v="0"/>
    <n v="15284604928.39233"/>
  </r>
  <r>
    <x v="1"/>
    <x v="10"/>
    <x v="0"/>
    <n v="27949731745.430908"/>
  </r>
  <r>
    <x v="1"/>
    <x v="11"/>
    <x v="0"/>
    <n v="17999545861.286251"/>
  </r>
  <r>
    <x v="1"/>
    <x v="12"/>
    <x v="0"/>
    <n v="31459057660.71228"/>
  </r>
  <r>
    <x v="1"/>
    <x v="13"/>
    <x v="0"/>
    <n v="28947190453.946659"/>
  </r>
  <r>
    <x v="1"/>
    <x v="14"/>
    <x v="0"/>
    <n v="27134593582.610111"/>
  </r>
  <r>
    <x v="1"/>
    <x v="15"/>
    <x v="0"/>
    <n v="29991428422.758179"/>
  </r>
  <r>
    <x v="1"/>
    <x v="16"/>
    <x v="0"/>
    <n v="29702302768.69714"/>
  </r>
  <r>
    <x v="1"/>
    <x v="17"/>
    <x v="0"/>
    <n v="29665253907.291752"/>
  </r>
  <r>
    <x v="1"/>
    <x v="18"/>
    <x v="0"/>
    <n v="35744467966.165527"/>
  </r>
  <r>
    <x v="1"/>
    <x v="19"/>
    <x v="0"/>
    <n v="36153234535.322632"/>
  </r>
  <r>
    <x v="1"/>
    <x v="20"/>
    <x v="0"/>
    <n v="38789072710.564453"/>
  </r>
  <r>
    <x v="1"/>
    <x v="21"/>
    <x v="0"/>
    <n v="36409234360.20459"/>
  </r>
  <r>
    <x v="1"/>
    <x v="22"/>
    <x v="0"/>
    <n v="45256640253.738037"/>
  </r>
  <r>
    <x v="1"/>
    <x v="23"/>
    <x v="0"/>
    <n v="47863732022.253662"/>
  </r>
  <r>
    <x v="1"/>
    <x v="24"/>
    <x v="0"/>
    <n v="72543000874.386719"/>
  </r>
  <r>
    <x v="1"/>
    <x v="25"/>
    <x v="0"/>
    <n v="41056412096.604248"/>
  </r>
  <r>
    <x v="1"/>
    <x v="26"/>
    <x v="0"/>
    <n v="38414637367.023682"/>
  </r>
  <r>
    <x v="1"/>
    <x v="27"/>
    <x v="0"/>
    <n v="44837597852.805183"/>
  </r>
  <r>
    <x v="1"/>
    <x v="28"/>
    <x v="0"/>
    <n v="43046273703.518311"/>
  </r>
  <r>
    <x v="1"/>
    <x v="29"/>
    <x v="0"/>
    <n v="43164975426.428711"/>
  </r>
  <r>
    <x v="1"/>
    <x v="30"/>
    <x v="0"/>
    <n v="42207961314.847412"/>
  </r>
  <r>
    <x v="1"/>
    <x v="31"/>
    <x v="0"/>
    <n v="11449712292.08643"/>
  </r>
  <r>
    <x v="1"/>
    <x v="32"/>
    <x v="0"/>
    <n v="22465130090.94751"/>
  </r>
  <r>
    <x v="1"/>
    <x v="33"/>
    <x v="0"/>
    <n v="54397795125.311768"/>
  </r>
  <r>
    <x v="1"/>
    <x v="34"/>
    <x v="0"/>
    <n v="71989223105.730469"/>
  </r>
  <r>
    <x v="1"/>
    <x v="35"/>
    <x v="0"/>
    <n v="61629275895.987061"/>
  </r>
  <r>
    <x v="1"/>
    <x v="36"/>
    <x v="0"/>
    <n v="60081966598.706047"/>
  </r>
  <r>
    <x v="1"/>
    <x v="37"/>
    <x v="0"/>
    <n v="59598368915.152832"/>
  </r>
  <r>
    <x v="1"/>
    <x v="38"/>
    <x v="0"/>
    <n v="59491758773.897949"/>
  </r>
  <r>
    <x v="1"/>
    <x v="39"/>
    <x v="0"/>
    <n v="55831875422.939697"/>
  </r>
  <r>
    <x v="1"/>
    <x v="40"/>
    <x v="0"/>
    <n v="65557255207.89209"/>
  </r>
  <r>
    <x v="1"/>
    <x v="41"/>
    <x v="0"/>
    <n v="63136115126.487793"/>
  </r>
  <r>
    <x v="1"/>
    <x v="42"/>
    <x v="0"/>
    <n v="51327960762.069092"/>
  </r>
  <r>
    <x v="1"/>
    <x v="43"/>
    <x v="0"/>
    <n v="29173304499.44067"/>
  </r>
  <r>
    <x v="1"/>
    <x v="44"/>
    <x v="0"/>
    <n v="34752816621.779793"/>
  </r>
  <r>
    <x v="1"/>
    <x v="45"/>
    <x v="0"/>
    <n v="48355040491.849609"/>
  </r>
  <r>
    <x v="1"/>
    <x v="46"/>
    <x v="0"/>
    <n v="43035029961.930183"/>
  </r>
  <r>
    <x v="1"/>
    <x v="47"/>
    <x v="0"/>
    <n v="39940234013.708008"/>
  </r>
  <r>
    <x v="1"/>
    <x v="48"/>
    <x v="0"/>
    <n v="50258620898.802727"/>
  </r>
  <r>
    <x v="1"/>
    <x v="49"/>
    <x v="0"/>
    <n v="34340826088.606449"/>
  </r>
  <r>
    <x v="1"/>
    <x v="50"/>
    <x v="0"/>
    <n v="45981111894.420898"/>
  </r>
  <r>
    <x v="1"/>
    <x v="51"/>
    <x v="0"/>
    <n v="45149609989.893066"/>
  </r>
  <r>
    <x v="1"/>
    <x v="52"/>
    <x v="0"/>
    <n v="35558061882.318848"/>
  </r>
  <r>
    <x v="1"/>
    <x v="53"/>
    <x v="0"/>
    <n v="41672478895.039551"/>
  </r>
  <r>
    <x v="1"/>
    <x v="54"/>
    <x v="0"/>
    <n v="51458961265.084961"/>
  </r>
  <r>
    <x v="1"/>
    <x v="55"/>
    <x v="0"/>
    <n v="34957437732.713379"/>
  </r>
  <r>
    <x v="1"/>
    <x v="56"/>
    <x v="0"/>
    <n v="35578876765.390137"/>
  </r>
  <r>
    <x v="1"/>
    <x v="57"/>
    <x v="0"/>
    <n v="36819355619.98584"/>
  </r>
  <r>
    <x v="1"/>
    <x v="58"/>
    <x v="0"/>
    <n v="36275538765.551758"/>
  </r>
  <r>
    <x v="1"/>
    <x v="59"/>
    <x v="0"/>
    <n v="34836814167.04541"/>
  </r>
  <r>
    <x v="1"/>
    <x v="60"/>
    <x v="0"/>
    <n v="30395990362.838871"/>
  </r>
  <r>
    <x v="1"/>
    <x v="61"/>
    <x v="0"/>
    <n v="57163028464.657227"/>
  </r>
  <r>
    <x v="1"/>
    <x v="62"/>
    <x v="0"/>
    <n v="63523365083.56543"/>
  </r>
  <r>
    <x v="1"/>
    <x v="63"/>
    <x v="0"/>
    <n v="72269655293.069336"/>
  </r>
  <r>
    <x v="1"/>
    <x v="64"/>
    <x v="0"/>
    <n v="83973824746.084473"/>
  </r>
  <r>
    <x v="1"/>
    <x v="65"/>
    <x v="0"/>
    <n v="68955290532.081543"/>
  </r>
  <r>
    <x v="1"/>
    <x v="66"/>
    <x v="0"/>
    <n v="65883454786.489258"/>
  </r>
  <r>
    <x v="1"/>
    <x v="67"/>
    <x v="0"/>
    <n v="53829725926.86377"/>
  </r>
  <r>
    <x v="1"/>
    <x v="68"/>
    <x v="0"/>
    <n v="62921675254.210449"/>
  </r>
  <r>
    <x v="1"/>
    <x v="69"/>
    <x v="0"/>
    <n v="51817466776.975098"/>
  </r>
  <r>
    <x v="1"/>
    <x v="70"/>
    <x v="0"/>
    <n v="49502804198.558113"/>
  </r>
  <r>
    <x v="1"/>
    <x v="71"/>
    <x v="0"/>
    <n v="48157148775.172363"/>
  </r>
  <r>
    <x v="1"/>
    <x v="72"/>
    <x v="0"/>
    <n v="225746785824.6221"/>
  </r>
  <r>
    <x v="1"/>
    <x v="73"/>
    <x v="0"/>
    <n v="-156096268896.2178"/>
  </r>
  <r>
    <x v="1"/>
    <x v="74"/>
    <x v="0"/>
    <n v="32201921135.297852"/>
  </r>
  <r>
    <x v="1"/>
    <x v="75"/>
    <x v="0"/>
    <n v="-51276172115.609863"/>
  </r>
  <r>
    <x v="1"/>
    <x v="76"/>
    <x v="0"/>
    <n v="50463011212.617188"/>
  </r>
  <r>
    <x v="1"/>
    <x v="77"/>
    <x v="0"/>
    <n v="-59525985088.243156"/>
  </r>
  <r>
    <x v="1"/>
    <x v="78"/>
    <x v="0"/>
    <n v="194898965815.84909"/>
  </r>
  <r>
    <x v="1"/>
    <x v="79"/>
    <x v="0"/>
    <n v="78644322893.984863"/>
  </r>
  <r>
    <x v="1"/>
    <x v="80"/>
    <x v="0"/>
    <n v="327658968291.99072"/>
  </r>
  <r>
    <x v="1"/>
    <x v="81"/>
    <x v="0"/>
    <n v="-144672092886.7822"/>
  </r>
  <r>
    <x v="1"/>
    <x v="82"/>
    <x v="0"/>
    <n v="100840707965.17191"/>
  </r>
  <r>
    <x v="1"/>
    <x v="83"/>
    <x v="0"/>
    <n v="104947254696.08501"/>
  </r>
  <r>
    <x v="1"/>
    <x v="84"/>
    <x v="0"/>
    <n v="107983137961.2832"/>
  </r>
  <r>
    <x v="1"/>
    <x v="85"/>
    <x v="0"/>
    <n v="-238403711786.87891"/>
  </r>
  <r>
    <x v="1"/>
    <x v="86"/>
    <x v="0"/>
    <n v="165756949581.9263"/>
  </r>
  <r>
    <x v="1"/>
    <x v="87"/>
    <x v="0"/>
    <n v="16201263446.697269"/>
  </r>
  <r>
    <x v="1"/>
    <x v="88"/>
    <x v="0"/>
    <n v="185405026240.34769"/>
  </r>
  <r>
    <x v="1"/>
    <x v="89"/>
    <x v="0"/>
    <n v="-44314345903.189453"/>
  </r>
  <r>
    <x v="1"/>
    <x v="90"/>
    <x v="0"/>
    <n v="60420715860.742188"/>
  </r>
  <r>
    <x v="1"/>
    <x v="91"/>
    <x v="0"/>
    <n v="-409555778.21191412"/>
  </r>
  <r>
    <x v="1"/>
    <x v="92"/>
    <x v="0"/>
    <n v="118577547320.0195"/>
  </r>
  <r>
    <x v="1"/>
    <x v="93"/>
    <x v="0"/>
    <n v="29305411054.203121"/>
  </r>
  <r>
    <x v="1"/>
    <x v="94"/>
    <x v="0"/>
    <n v="29841251124.300781"/>
  </r>
  <r>
    <x v="1"/>
    <x v="95"/>
    <x v="0"/>
    <n v="29476776246.074219"/>
  </r>
  <r>
    <x v="0"/>
    <x v="0"/>
    <x v="1"/>
    <m/>
  </r>
  <r>
    <x v="0"/>
    <x v="1"/>
    <x v="1"/>
    <n v="-7.6014720763726673E-2"/>
  </r>
  <r>
    <x v="0"/>
    <x v="2"/>
    <x v="1"/>
    <n v="-7.0420001135585442E-3"/>
  </r>
  <r>
    <x v="0"/>
    <x v="3"/>
    <x v="1"/>
    <n v="-4.9826229503623087E-2"/>
  </r>
  <r>
    <x v="0"/>
    <x v="4"/>
    <x v="1"/>
    <n v="-1.61227993704911E-2"/>
  </r>
  <r>
    <x v="0"/>
    <x v="5"/>
    <x v="1"/>
    <n v="1.1123278467664031E-3"/>
  </r>
  <r>
    <x v="0"/>
    <x v="6"/>
    <x v="1"/>
    <n v="-4.6283396041826491E-2"/>
  </r>
  <r>
    <x v="0"/>
    <x v="7"/>
    <x v="1"/>
    <n v="-9.8514695256995133E-3"/>
  </r>
  <r>
    <x v="0"/>
    <x v="8"/>
    <x v="1"/>
    <n v="2.871888444720722E-3"/>
  </r>
  <r>
    <x v="0"/>
    <x v="9"/>
    <x v="1"/>
    <n v="3.6843167126975801E-2"/>
  </r>
  <r>
    <x v="0"/>
    <x v="10"/>
    <x v="1"/>
    <n v="3.6433772415659399E-2"/>
  </r>
  <r>
    <x v="0"/>
    <x v="11"/>
    <x v="1"/>
    <n v="-1.547763391455911E-2"/>
  </r>
  <r>
    <x v="0"/>
    <x v="12"/>
    <x v="1"/>
    <n v="6.3189500998834525E-2"/>
  </r>
  <r>
    <x v="0"/>
    <x v="13"/>
    <x v="1"/>
    <n v="0.13544736161312351"/>
  </r>
  <r>
    <x v="0"/>
    <x v="14"/>
    <x v="1"/>
    <n v="-0.25182344244273619"/>
  </r>
  <r>
    <x v="0"/>
    <x v="15"/>
    <x v="1"/>
    <n v="9.800129260290058E-4"/>
  </r>
  <r>
    <x v="0"/>
    <x v="16"/>
    <x v="1"/>
    <n v="3.5850839936175487E-2"/>
  </r>
  <r>
    <x v="0"/>
    <x v="17"/>
    <x v="1"/>
    <n v="-2.948197531398539E-2"/>
  </r>
  <r>
    <x v="0"/>
    <x v="18"/>
    <x v="1"/>
    <n v="4.8790365684877046E-3"/>
  </r>
  <r>
    <x v="0"/>
    <x v="19"/>
    <x v="1"/>
    <n v="3.5242671726963597E-2"/>
  </r>
  <r>
    <x v="0"/>
    <x v="20"/>
    <x v="1"/>
    <n v="-3.6835487663053723E-2"/>
  </r>
  <r>
    <x v="0"/>
    <x v="21"/>
    <x v="1"/>
    <n v="0.28492982111305382"/>
  </r>
  <r>
    <x v="0"/>
    <x v="22"/>
    <x v="1"/>
    <n v="-0.21813036128173319"/>
  </r>
  <r>
    <x v="0"/>
    <x v="23"/>
    <x v="1"/>
    <n v="-4.9565185788678079E-2"/>
  </r>
  <r>
    <x v="0"/>
    <x v="24"/>
    <x v="1"/>
    <n v="8.4602749972311708E-2"/>
  </r>
  <r>
    <x v="0"/>
    <x v="25"/>
    <x v="1"/>
    <n v="-5.9349049234760309E-2"/>
  </r>
  <r>
    <x v="0"/>
    <x v="26"/>
    <x v="1"/>
    <n v="6.6511864364533879E-2"/>
  </r>
  <r>
    <x v="0"/>
    <x v="27"/>
    <x v="1"/>
    <n v="5.3484434639038292E-2"/>
  </r>
  <r>
    <x v="0"/>
    <x v="28"/>
    <x v="1"/>
    <n v="0.1874048486747891"/>
  </r>
  <r>
    <x v="0"/>
    <x v="29"/>
    <x v="1"/>
    <n v="-0.2315015541297529"/>
  </r>
  <r>
    <x v="0"/>
    <x v="30"/>
    <x v="1"/>
    <n v="0.18810060040698229"/>
  </r>
  <r>
    <x v="0"/>
    <x v="31"/>
    <x v="1"/>
    <n v="0.21244426568997041"/>
  </r>
  <r>
    <x v="0"/>
    <x v="32"/>
    <x v="1"/>
    <n v="-0.2296007025870905"/>
  </r>
  <r>
    <x v="0"/>
    <x v="33"/>
    <x v="1"/>
    <n v="0.1237378242782738"/>
  </r>
  <r>
    <x v="0"/>
    <x v="34"/>
    <x v="1"/>
    <n v="-0.239480929983899"/>
  </r>
  <r>
    <x v="0"/>
    <x v="35"/>
    <x v="1"/>
    <n v="-8.0744136259802896E-2"/>
  </r>
  <r>
    <x v="0"/>
    <x v="36"/>
    <x v="1"/>
    <n v="-4.9710894951809581E-2"/>
  </r>
  <r>
    <x v="0"/>
    <x v="37"/>
    <x v="1"/>
    <n v="8.5180029393212703E-2"/>
  </r>
  <r>
    <x v="0"/>
    <x v="38"/>
    <x v="1"/>
    <n v="-0.13890632680481879"/>
  </r>
  <r>
    <x v="0"/>
    <x v="39"/>
    <x v="1"/>
    <n v="6.2367179465091821E-2"/>
  </r>
  <r>
    <x v="0"/>
    <x v="40"/>
    <x v="1"/>
    <n v="3.5989872478842277E-2"/>
  </r>
  <r>
    <x v="0"/>
    <x v="41"/>
    <x v="1"/>
    <n v="-5.8604869817150379E-2"/>
  </r>
  <r>
    <x v="0"/>
    <x v="42"/>
    <x v="1"/>
    <n v="8.761701760922927E-2"/>
  </r>
  <r>
    <x v="0"/>
    <x v="43"/>
    <x v="1"/>
    <n v="2.5454583578613521E-2"/>
  </r>
  <r>
    <x v="0"/>
    <x v="44"/>
    <x v="1"/>
    <n v="-4.5122224946185618E-2"/>
  </r>
  <r>
    <x v="0"/>
    <x v="45"/>
    <x v="1"/>
    <n v="-3.3318328545661691E-2"/>
  </r>
  <r>
    <x v="0"/>
    <x v="46"/>
    <x v="1"/>
    <n v="-2.1385310288581288E-2"/>
  </r>
  <r>
    <x v="0"/>
    <x v="47"/>
    <x v="1"/>
    <n v="-3.4303764556727401E-2"/>
  </r>
  <r>
    <x v="0"/>
    <x v="48"/>
    <x v="1"/>
    <n v="-1.549536113953459E-2"/>
  </r>
  <r>
    <x v="0"/>
    <x v="49"/>
    <x v="1"/>
    <n v="8.8493631428154779E-2"/>
  </r>
  <r>
    <x v="0"/>
    <x v="50"/>
    <x v="1"/>
    <n v="0.11694142238134"/>
  </r>
  <r>
    <x v="0"/>
    <x v="51"/>
    <x v="1"/>
    <n v="-0.17319082209562689"/>
  </r>
  <r>
    <x v="0"/>
    <x v="52"/>
    <x v="1"/>
    <n v="-3.1755223439058511E-2"/>
  </r>
  <r>
    <x v="0"/>
    <x v="53"/>
    <x v="1"/>
    <n v="1.9151759568025171E-3"/>
  </r>
  <r>
    <x v="0"/>
    <x v="54"/>
    <x v="1"/>
    <n v="3.1158923886639989E-4"/>
  </r>
  <r>
    <x v="0"/>
    <x v="55"/>
    <x v="1"/>
    <n v="-2.5199151963926081E-3"/>
  </r>
  <r>
    <x v="0"/>
    <x v="56"/>
    <x v="1"/>
    <n v="2.3132207071191489E-2"/>
  </r>
  <r>
    <x v="0"/>
    <x v="57"/>
    <x v="1"/>
    <n v="1.732557172038221E-2"/>
  </r>
  <r>
    <x v="0"/>
    <x v="58"/>
    <x v="1"/>
    <n v="3.8749360595988797E-2"/>
  </r>
  <r>
    <x v="0"/>
    <x v="59"/>
    <x v="1"/>
    <n v="-8.8179642478708187E-2"/>
  </r>
  <r>
    <x v="0"/>
    <x v="60"/>
    <x v="1"/>
    <n v="8.1220033375524497E-2"/>
  </r>
  <r>
    <x v="0"/>
    <x v="61"/>
    <x v="1"/>
    <n v="-6.7523720763116302E-2"/>
  </r>
  <r>
    <x v="0"/>
    <x v="62"/>
    <x v="1"/>
    <n v="-2.3562102124497299E-2"/>
  </r>
  <r>
    <x v="0"/>
    <x v="63"/>
    <x v="1"/>
    <n v="4.6314115419651997E-2"/>
  </r>
  <r>
    <x v="0"/>
    <x v="64"/>
    <x v="1"/>
    <n v="-6.7425390649503703E-2"/>
  </r>
  <r>
    <x v="0"/>
    <x v="65"/>
    <x v="1"/>
    <n v="-5.9291790309111969E-3"/>
  </r>
  <r>
    <x v="0"/>
    <x v="66"/>
    <x v="1"/>
    <n v="1.45500132245508E-2"/>
  </r>
  <r>
    <x v="0"/>
    <x v="67"/>
    <x v="1"/>
    <n v="-4.7472633248756002E-3"/>
  </r>
  <r>
    <x v="0"/>
    <x v="68"/>
    <x v="1"/>
    <n v="2.9236299128259119E-2"/>
  </r>
  <r>
    <x v="0"/>
    <x v="69"/>
    <x v="1"/>
    <n v="-8.8789998374543266E-3"/>
  </r>
  <r>
    <x v="0"/>
    <x v="70"/>
    <x v="1"/>
    <n v="1.4845304695814019E-2"/>
  </r>
  <r>
    <x v="0"/>
    <x v="71"/>
    <x v="1"/>
    <n v="6.975270331981348E-2"/>
  </r>
  <r>
    <x v="0"/>
    <x v="72"/>
    <x v="1"/>
    <n v="-9.2021497923237883E-2"/>
  </r>
  <r>
    <x v="0"/>
    <x v="73"/>
    <x v="1"/>
    <n v="4.1826371053596101E-2"/>
  </r>
  <r>
    <x v="0"/>
    <x v="74"/>
    <x v="1"/>
    <n v="3.7183280530974798E-2"/>
  </r>
  <r>
    <x v="0"/>
    <x v="75"/>
    <x v="1"/>
    <n v="-9.9444845067581014E-2"/>
  </r>
  <r>
    <x v="0"/>
    <x v="76"/>
    <x v="1"/>
    <n v="0.40494117218486569"/>
  </r>
  <r>
    <x v="0"/>
    <x v="77"/>
    <x v="1"/>
    <n v="-0.17700875983786091"/>
  </r>
  <r>
    <x v="0"/>
    <x v="78"/>
    <x v="1"/>
    <n v="-0.1535341178660784"/>
  </r>
  <r>
    <x v="0"/>
    <x v="79"/>
    <x v="1"/>
    <n v="-3.3525287282089117E-2"/>
  </r>
  <r>
    <x v="0"/>
    <x v="80"/>
    <x v="1"/>
    <n v="6.8969644598202817E-2"/>
  </r>
  <r>
    <x v="0"/>
    <x v="81"/>
    <x v="1"/>
    <n v="-6.3819814537597414E-2"/>
  </r>
  <r>
    <x v="0"/>
    <x v="82"/>
    <x v="1"/>
    <n v="-3.5744513508106902E-2"/>
  </r>
  <r>
    <x v="0"/>
    <x v="83"/>
    <x v="1"/>
    <n v="5.4626970193174203E-2"/>
  </r>
  <r>
    <x v="0"/>
    <x v="84"/>
    <x v="1"/>
    <n v="8.4438381415580493E-2"/>
  </r>
  <r>
    <x v="0"/>
    <x v="85"/>
    <x v="1"/>
    <n v="-4.2629327580735399E-2"/>
  </r>
  <r>
    <x v="0"/>
    <x v="86"/>
    <x v="1"/>
    <n v="-4.326313828015349E-2"/>
  </r>
  <r>
    <x v="0"/>
    <x v="87"/>
    <x v="1"/>
    <n v="-2.03926636353686E-2"/>
  </r>
  <r>
    <x v="0"/>
    <x v="88"/>
    <x v="1"/>
    <n v="-1.679557210101509E-2"/>
  </r>
  <r>
    <x v="0"/>
    <x v="89"/>
    <x v="1"/>
    <n v="-5.2996867807487719E-2"/>
  </r>
  <r>
    <x v="0"/>
    <x v="90"/>
    <x v="1"/>
    <n v="6.5591290529549836E-3"/>
  </r>
  <r>
    <x v="0"/>
    <x v="91"/>
    <x v="1"/>
    <n v="2.432956712143752E-2"/>
  </r>
  <r>
    <x v="0"/>
    <x v="92"/>
    <x v="1"/>
    <n v="1.9472245996683919E-2"/>
  </r>
  <r>
    <x v="0"/>
    <x v="93"/>
    <x v="1"/>
    <n v="7.1264057497550992E-2"/>
  </r>
  <r>
    <x v="0"/>
    <x v="94"/>
    <x v="1"/>
    <n v="-7.5383004445980811E-2"/>
  </r>
  <r>
    <x v="0"/>
    <x v="95"/>
    <x v="1"/>
    <n v="8.1300079165116113E-3"/>
  </r>
  <r>
    <x v="1"/>
    <x v="0"/>
    <x v="1"/>
    <m/>
  </r>
  <r>
    <x v="1"/>
    <x v="1"/>
    <x v="1"/>
    <n v="4.2515081182453618E-2"/>
  </r>
  <r>
    <x v="1"/>
    <x v="2"/>
    <x v="1"/>
    <n v="2.9219450924158789E-2"/>
  </r>
  <r>
    <x v="1"/>
    <x v="3"/>
    <x v="1"/>
    <n v="-8.6253534239445873E-2"/>
  </r>
  <r>
    <x v="1"/>
    <x v="4"/>
    <x v="1"/>
    <n v="-9.4630080716878395E-2"/>
  </r>
  <r>
    <x v="1"/>
    <x v="5"/>
    <x v="1"/>
    <n v="-8.4667896895517625E-2"/>
  </r>
  <r>
    <x v="1"/>
    <x v="6"/>
    <x v="1"/>
    <n v="5.5686391896682397E-2"/>
  </r>
  <r>
    <x v="1"/>
    <x v="7"/>
    <x v="1"/>
    <n v="-3.7625089715268012E-4"/>
  </r>
  <r>
    <x v="1"/>
    <x v="8"/>
    <x v="1"/>
    <n v="-4.6690481996777923E-2"/>
  </r>
  <r>
    <x v="1"/>
    <x v="9"/>
    <x v="1"/>
    <n v="2.6286587860195221E-2"/>
  </r>
  <r>
    <x v="1"/>
    <x v="10"/>
    <x v="1"/>
    <n v="5.0752914151002471E-2"/>
  </r>
  <r>
    <x v="1"/>
    <x v="11"/>
    <x v="1"/>
    <n v="6.4134070980054192E-4"/>
  </r>
  <r>
    <x v="1"/>
    <x v="12"/>
    <x v="1"/>
    <n v="2.7341042696852062E-2"/>
  </r>
  <r>
    <x v="1"/>
    <x v="13"/>
    <x v="1"/>
    <n v="0.1006167834177686"/>
  </r>
  <r>
    <x v="1"/>
    <x v="14"/>
    <x v="1"/>
    <n v="-0.1978557637512918"/>
  </r>
  <r>
    <x v="1"/>
    <x v="15"/>
    <x v="1"/>
    <n v="-1.6588218563243801E-2"/>
  </r>
  <r>
    <x v="1"/>
    <x v="16"/>
    <x v="1"/>
    <n v="-1.165827798079219E-2"/>
  </r>
  <r>
    <x v="1"/>
    <x v="17"/>
    <x v="1"/>
    <n v="-1.009223426407529E-2"/>
  </r>
  <r>
    <x v="1"/>
    <x v="18"/>
    <x v="1"/>
    <n v="2.2556180727084599E-2"/>
  </r>
  <r>
    <x v="1"/>
    <x v="19"/>
    <x v="1"/>
    <n v="-9.1993890691096092E-3"/>
  </r>
  <r>
    <x v="1"/>
    <x v="20"/>
    <x v="1"/>
    <n v="2.8367133917420791E-2"/>
  </r>
  <r>
    <x v="1"/>
    <x v="21"/>
    <x v="1"/>
    <n v="0.1059472773283579"/>
  </r>
  <r>
    <x v="1"/>
    <x v="22"/>
    <x v="1"/>
    <n v="-0.14843349328121011"/>
  </r>
  <r>
    <x v="1"/>
    <x v="23"/>
    <x v="1"/>
    <n v="5.4429230865455168E-2"/>
  </r>
  <r>
    <x v="1"/>
    <x v="24"/>
    <x v="1"/>
    <n v="6.2955034007688232E-2"/>
  </r>
  <r>
    <x v="1"/>
    <x v="25"/>
    <x v="1"/>
    <n v="-5.4837916393476398E-2"/>
  </r>
  <r>
    <x v="1"/>
    <x v="26"/>
    <x v="1"/>
    <n v="0.16702035106287019"/>
  </r>
  <r>
    <x v="1"/>
    <x v="27"/>
    <x v="1"/>
    <n v="5.561177090070113E-2"/>
  </r>
  <r>
    <x v="1"/>
    <x v="28"/>
    <x v="1"/>
    <n v="0.14666355295291009"/>
  </r>
  <r>
    <x v="1"/>
    <x v="29"/>
    <x v="1"/>
    <n v="-0.2689686038832883"/>
  </r>
  <r>
    <x v="1"/>
    <x v="30"/>
    <x v="1"/>
    <n v="0.16688451217735439"/>
  </r>
  <r>
    <x v="1"/>
    <x v="31"/>
    <x v="1"/>
    <n v="0.35195393601277641"/>
  </r>
  <r>
    <x v="1"/>
    <x v="32"/>
    <x v="1"/>
    <n v="-0.3939620253562004"/>
  </r>
  <r>
    <x v="1"/>
    <x v="33"/>
    <x v="1"/>
    <n v="-7.7316380232535176E-2"/>
  </r>
  <r>
    <x v="1"/>
    <x v="34"/>
    <x v="1"/>
    <n v="-7.3877657156122711E-2"/>
  </r>
  <r>
    <x v="1"/>
    <x v="35"/>
    <x v="1"/>
    <n v="-4.9456807487339799E-2"/>
  </r>
  <r>
    <x v="1"/>
    <x v="36"/>
    <x v="1"/>
    <n v="-1.8423025853780969E-5"/>
  </r>
  <r>
    <x v="1"/>
    <x v="37"/>
    <x v="1"/>
    <n v="1.9763885072462069E-2"/>
  </r>
  <r>
    <x v="1"/>
    <x v="38"/>
    <x v="1"/>
    <n v="-0.1027554988224146"/>
  </r>
  <r>
    <x v="1"/>
    <x v="39"/>
    <x v="1"/>
    <n v="3.5514337827082298E-2"/>
  </r>
  <r>
    <x v="1"/>
    <x v="40"/>
    <x v="1"/>
    <n v="6.0715855117718931E-3"/>
  </r>
  <r>
    <x v="1"/>
    <x v="41"/>
    <x v="1"/>
    <n v="-3.7026113848749487E-2"/>
  </r>
  <r>
    <x v="1"/>
    <x v="42"/>
    <x v="1"/>
    <n v="0.1881919964374055"/>
  </r>
  <r>
    <x v="1"/>
    <x v="43"/>
    <x v="1"/>
    <n v="3.8679166404946508E-2"/>
  </r>
  <r>
    <x v="1"/>
    <x v="44"/>
    <x v="1"/>
    <n v="-0.17397372508398459"/>
  </r>
  <r>
    <x v="1"/>
    <x v="45"/>
    <x v="1"/>
    <n v="-5.3745367318774884E-3"/>
  </r>
  <r>
    <x v="1"/>
    <x v="46"/>
    <x v="1"/>
    <n v="-1.7408178519579511E-2"/>
  </r>
  <r>
    <x v="1"/>
    <x v="47"/>
    <x v="1"/>
    <n v="-4.6460124415704879E-2"/>
  </r>
  <r>
    <x v="1"/>
    <x v="48"/>
    <x v="1"/>
    <n v="3.1956369430842603E-2"/>
  </r>
  <r>
    <x v="1"/>
    <x v="49"/>
    <x v="1"/>
    <n v="3.4723906608241289E-2"/>
  </r>
  <r>
    <x v="1"/>
    <x v="50"/>
    <x v="1"/>
    <n v="-2.0889391385869701E-2"/>
  </r>
  <r>
    <x v="1"/>
    <x v="51"/>
    <x v="1"/>
    <n v="-2.3866964381202199E-2"/>
  </r>
  <r>
    <x v="1"/>
    <x v="52"/>
    <x v="1"/>
    <n v="2.84142443966309E-2"/>
  </r>
  <r>
    <x v="1"/>
    <x v="53"/>
    <x v="1"/>
    <n v="-5.7500169853449988E-2"/>
  </r>
  <r>
    <x v="1"/>
    <x v="54"/>
    <x v="1"/>
    <n v="1.1286110298042801E-2"/>
  </r>
  <r>
    <x v="1"/>
    <x v="55"/>
    <x v="1"/>
    <n v="4.3228874596188287E-2"/>
  </r>
  <r>
    <x v="1"/>
    <x v="56"/>
    <x v="1"/>
    <n v="-3.2493994981651481E-2"/>
  </r>
  <r>
    <x v="1"/>
    <x v="57"/>
    <x v="1"/>
    <n v="0.1123146960882792"/>
  </r>
  <r>
    <x v="1"/>
    <x v="58"/>
    <x v="1"/>
    <n v="7.4652740681570795E-2"/>
  </r>
  <r>
    <x v="1"/>
    <x v="59"/>
    <x v="1"/>
    <n v="-0.14654107947524239"/>
  </r>
  <r>
    <x v="1"/>
    <x v="60"/>
    <x v="1"/>
    <n v="9.284073777236701E-2"/>
  </r>
  <r>
    <x v="1"/>
    <x v="61"/>
    <x v="1"/>
    <n v="-0.1143799810663723"/>
  </r>
  <r>
    <x v="1"/>
    <x v="62"/>
    <x v="1"/>
    <n v="-1.963847750677428E-2"/>
  </r>
  <r>
    <x v="1"/>
    <x v="63"/>
    <x v="1"/>
    <n v="-1.2253077663527319E-2"/>
  </r>
  <r>
    <x v="1"/>
    <x v="64"/>
    <x v="1"/>
    <n v="-2.2457083478478999E-2"/>
  </r>
  <r>
    <x v="1"/>
    <x v="65"/>
    <x v="1"/>
    <n v="-7.5975958408092958E-3"/>
  </r>
  <r>
    <x v="1"/>
    <x v="66"/>
    <x v="1"/>
    <n v="2.945391492734958E-2"/>
  </r>
  <r>
    <x v="1"/>
    <x v="67"/>
    <x v="1"/>
    <n v="1.6304768964165019E-2"/>
  </r>
  <r>
    <x v="1"/>
    <x v="68"/>
    <x v="1"/>
    <n v="8.1556071387553802E-2"/>
  </r>
  <r>
    <x v="1"/>
    <x v="69"/>
    <x v="1"/>
    <n v="-5.6853986043616113E-2"/>
  </r>
  <r>
    <x v="1"/>
    <x v="70"/>
    <x v="1"/>
    <n v="2.567594611939009E-2"/>
  </r>
  <r>
    <x v="1"/>
    <x v="71"/>
    <x v="1"/>
    <n v="5.0452456547051723E-2"/>
  </r>
  <r>
    <x v="1"/>
    <x v="72"/>
    <x v="1"/>
    <n v="-6.9385947005699916E-2"/>
  </r>
  <r>
    <x v="1"/>
    <x v="73"/>
    <x v="1"/>
    <n v="-1.51355391450339E-2"/>
  </r>
  <r>
    <x v="1"/>
    <x v="74"/>
    <x v="1"/>
    <n v="-1.025754942175458E-2"/>
  </r>
  <r>
    <x v="1"/>
    <x v="75"/>
    <x v="1"/>
    <n v="-2.9705951325493422E-2"/>
  </r>
  <r>
    <x v="1"/>
    <x v="76"/>
    <x v="1"/>
    <n v="0.18490951967474761"/>
  </r>
  <r>
    <x v="1"/>
    <x v="77"/>
    <x v="1"/>
    <n v="-0.1092965207896175"/>
  </r>
  <r>
    <x v="1"/>
    <x v="78"/>
    <x v="1"/>
    <n v="3.9938670746903798E-2"/>
  </r>
  <r>
    <x v="1"/>
    <x v="79"/>
    <x v="1"/>
    <n v="-5.8115215481791521E-2"/>
  </r>
  <r>
    <x v="1"/>
    <x v="80"/>
    <x v="1"/>
    <n v="9.3621588448557391E-2"/>
  </r>
  <r>
    <x v="1"/>
    <x v="81"/>
    <x v="1"/>
    <n v="-0.12376495915836951"/>
  </r>
  <r>
    <x v="1"/>
    <x v="82"/>
    <x v="1"/>
    <n v="0.14724494059504131"/>
  </r>
  <r>
    <x v="1"/>
    <x v="83"/>
    <x v="1"/>
    <n v="-9.4521321034023664E-2"/>
  </r>
  <r>
    <x v="1"/>
    <x v="84"/>
    <x v="1"/>
    <n v="0.25274828817090139"/>
  </r>
  <r>
    <x v="1"/>
    <x v="85"/>
    <x v="1"/>
    <n v="-0.12941302758017881"/>
  </r>
  <r>
    <x v="1"/>
    <x v="86"/>
    <x v="1"/>
    <n v="-0.11748329299862061"/>
  </r>
  <r>
    <x v="1"/>
    <x v="87"/>
    <x v="1"/>
    <n v="0.21665709350480111"/>
  </r>
  <r>
    <x v="1"/>
    <x v="88"/>
    <x v="1"/>
    <n v="-0.1685331504912303"/>
  </r>
  <r>
    <x v="1"/>
    <x v="89"/>
    <x v="1"/>
    <n v="-6.6757894769696208E-2"/>
  </r>
  <r>
    <x v="1"/>
    <x v="90"/>
    <x v="1"/>
    <n v="3.7944447103467199E-2"/>
  </r>
  <r>
    <x v="1"/>
    <x v="91"/>
    <x v="1"/>
    <n v="-1.7762218724925619E-2"/>
  </r>
  <r>
    <x v="1"/>
    <x v="92"/>
    <x v="1"/>
    <n v="2.3671568220900219E-2"/>
  </r>
  <r>
    <x v="1"/>
    <x v="93"/>
    <x v="1"/>
    <n v="-5.5982792769702722E-2"/>
  </r>
  <r>
    <x v="1"/>
    <x v="94"/>
    <x v="1"/>
    <n v="6.2268403302717212E-2"/>
  </r>
  <r>
    <x v="1"/>
    <x v="95"/>
    <x v="1"/>
    <n v="6.2777845709127783E-2"/>
  </r>
  <r>
    <x v="0"/>
    <x v="0"/>
    <x v="2"/>
    <m/>
  </r>
  <r>
    <x v="0"/>
    <x v="1"/>
    <x v="2"/>
    <n v="-1.22984652255292"/>
  </r>
  <r>
    <x v="0"/>
    <x v="2"/>
    <x v="2"/>
    <n v="-1.843763179727635"/>
  </r>
  <r>
    <x v="0"/>
    <x v="3"/>
    <x v="2"/>
    <n v="6.347981000412565"/>
  </r>
  <r>
    <x v="0"/>
    <x v="4"/>
    <x v="2"/>
    <n v="1.0879153442044589"/>
  </r>
  <r>
    <x v="0"/>
    <x v="5"/>
    <x v="2"/>
    <n v="-2.1324348671329609"/>
  </r>
  <r>
    <x v="0"/>
    <x v="6"/>
    <x v="2"/>
    <n v="-1.01488062437662"/>
  </r>
  <r>
    <x v="0"/>
    <x v="7"/>
    <x v="2"/>
    <n v="1.285433437950241"/>
  </r>
  <r>
    <x v="0"/>
    <x v="8"/>
    <x v="2"/>
    <n v="-2.1293032099274911"/>
  </r>
  <r>
    <x v="0"/>
    <x v="9"/>
    <x v="2"/>
    <n v="1.868033523070121"/>
  </r>
  <r>
    <x v="0"/>
    <x v="10"/>
    <x v="2"/>
    <n v="2.468081412620529"/>
  </r>
  <r>
    <x v="0"/>
    <x v="11"/>
    <x v="2"/>
    <n v="5.4229118308931694"/>
  </r>
  <r>
    <x v="0"/>
    <x v="12"/>
    <x v="2"/>
    <n v="-0.2957179161176775"/>
  </r>
  <r>
    <x v="0"/>
    <x v="13"/>
    <x v="2"/>
    <n v="-7.6789353127424818"/>
  </r>
  <r>
    <x v="0"/>
    <x v="14"/>
    <x v="2"/>
    <n v="2.0338995100604809"/>
  </r>
  <r>
    <x v="0"/>
    <x v="15"/>
    <x v="2"/>
    <n v="3.1134264867502579"/>
  </r>
  <r>
    <x v="0"/>
    <x v="16"/>
    <x v="2"/>
    <n v="-0.67185231547611934"/>
  </r>
  <r>
    <x v="0"/>
    <x v="17"/>
    <x v="2"/>
    <n v="-2.3840858925734998"/>
  </r>
  <r>
    <x v="0"/>
    <x v="18"/>
    <x v="2"/>
    <n v="2.7633519491374212"/>
  </r>
  <r>
    <x v="0"/>
    <x v="19"/>
    <x v="2"/>
    <n v="2.0562684900996402"/>
  </r>
  <r>
    <x v="0"/>
    <x v="20"/>
    <x v="2"/>
    <n v="3.8285627786021408"/>
  </r>
  <r>
    <x v="0"/>
    <x v="21"/>
    <x v="2"/>
    <n v="-5.5912384056878217"/>
  </r>
  <r>
    <x v="0"/>
    <x v="22"/>
    <x v="2"/>
    <n v="3.60867570481722"/>
  </r>
  <r>
    <x v="0"/>
    <x v="23"/>
    <x v="2"/>
    <n v="3.849254085138369"/>
  </r>
  <r>
    <x v="0"/>
    <x v="24"/>
    <x v="2"/>
    <n v="-2.7532859081197998"/>
  </r>
  <r>
    <x v="0"/>
    <x v="25"/>
    <x v="2"/>
    <n v="-2.1961864602445691"/>
  </r>
  <r>
    <x v="0"/>
    <x v="26"/>
    <x v="2"/>
    <n v="3.3666433407935301"/>
  </r>
  <r>
    <x v="0"/>
    <x v="27"/>
    <x v="2"/>
    <n v="5.1630290207982199"/>
  </r>
  <r>
    <x v="0"/>
    <x v="28"/>
    <x v="2"/>
    <n v="-7.4587574422170491"/>
  </r>
  <r>
    <x v="0"/>
    <x v="29"/>
    <x v="2"/>
    <n v="-5.426490867699421"/>
  </r>
  <r>
    <x v="0"/>
    <x v="30"/>
    <x v="2"/>
    <n v="-1.219780481535309"/>
  </r>
  <r>
    <x v="0"/>
    <x v="31"/>
    <x v="2"/>
    <n v="-4.312739351549741"/>
  </r>
  <r>
    <x v="0"/>
    <x v="32"/>
    <x v="2"/>
    <n v="0.1479708029590405"/>
  </r>
  <r>
    <x v="0"/>
    <x v="33"/>
    <x v="2"/>
    <n v="6.3694552212501492"/>
  </r>
  <r>
    <x v="0"/>
    <x v="34"/>
    <x v="2"/>
    <n v="3.6879737390560412"/>
  </r>
  <r>
    <x v="0"/>
    <x v="35"/>
    <x v="2"/>
    <n v="0.87619294813383064"/>
  </r>
  <r>
    <x v="0"/>
    <x v="36"/>
    <x v="2"/>
    <n v="0.38474645667352902"/>
  </r>
  <r>
    <x v="0"/>
    <x v="37"/>
    <x v="2"/>
    <n v="-0.74242644749967113"/>
  </r>
  <r>
    <x v="0"/>
    <x v="38"/>
    <x v="2"/>
    <n v="2.478147453638162"/>
  </r>
  <r>
    <x v="0"/>
    <x v="39"/>
    <x v="2"/>
    <n v="-3.8900774737098409"/>
  </r>
  <r>
    <x v="0"/>
    <x v="40"/>
    <x v="2"/>
    <n v="-1.0890337932064289"/>
  </r>
  <r>
    <x v="0"/>
    <x v="41"/>
    <x v="2"/>
    <n v="-1.4206539222869421"/>
  </r>
  <r>
    <x v="0"/>
    <x v="42"/>
    <x v="2"/>
    <n v="-2.2217989423893978"/>
  </r>
  <r>
    <x v="0"/>
    <x v="43"/>
    <x v="2"/>
    <n v="-3.21520534592843"/>
  </r>
  <r>
    <x v="0"/>
    <x v="44"/>
    <x v="2"/>
    <n v="1.651613641191251"/>
  </r>
  <r>
    <x v="0"/>
    <x v="45"/>
    <x v="2"/>
    <n v="0.98032055021611875"/>
  </r>
  <r>
    <x v="0"/>
    <x v="46"/>
    <x v="2"/>
    <n v="1.336882092040302"/>
  </r>
  <r>
    <x v="0"/>
    <x v="47"/>
    <x v="2"/>
    <n v="0.64914780073637957"/>
  </r>
  <r>
    <x v="0"/>
    <x v="48"/>
    <x v="2"/>
    <n v="-1.015104314177012"/>
  </r>
  <r>
    <x v="0"/>
    <x v="49"/>
    <x v="2"/>
    <n v="-0.24303896812545919"/>
  </r>
  <r>
    <x v="0"/>
    <x v="50"/>
    <x v="2"/>
    <n v="-0.17212930140131991"/>
  </r>
  <r>
    <x v="0"/>
    <x v="51"/>
    <x v="2"/>
    <n v="1.7333722632343811"/>
  </r>
  <r>
    <x v="0"/>
    <x v="52"/>
    <x v="2"/>
    <n v="1.4602470169562589"/>
  </r>
  <r>
    <x v="0"/>
    <x v="53"/>
    <x v="2"/>
    <n v="-0.25869725415287093"/>
  </r>
  <r>
    <x v="0"/>
    <x v="54"/>
    <x v="2"/>
    <n v="1.4987216626236199"/>
  </r>
  <r>
    <x v="0"/>
    <x v="55"/>
    <x v="2"/>
    <n v="-4.8316996884587127E-2"/>
  </r>
  <r>
    <x v="0"/>
    <x v="56"/>
    <x v="2"/>
    <n v="-0.31137620214508033"/>
  </r>
  <r>
    <x v="0"/>
    <x v="57"/>
    <x v="2"/>
    <n v="0.63550272291248788"/>
  </r>
  <r>
    <x v="0"/>
    <x v="58"/>
    <x v="2"/>
    <n v="0.60094264875198178"/>
  </r>
  <r>
    <x v="0"/>
    <x v="59"/>
    <x v="2"/>
    <n v="0.2201107635853283"/>
  </r>
  <r>
    <x v="0"/>
    <x v="60"/>
    <x v="2"/>
    <n v="-0.59713992214533818"/>
  </r>
  <r>
    <x v="0"/>
    <x v="61"/>
    <x v="2"/>
    <n v="0.497038736470099"/>
  </r>
  <r>
    <x v="0"/>
    <x v="62"/>
    <x v="2"/>
    <n v="1.2314123511556689"/>
  </r>
  <r>
    <x v="0"/>
    <x v="63"/>
    <x v="2"/>
    <n v="-1.493912331915197"/>
  </r>
  <r>
    <x v="0"/>
    <x v="64"/>
    <x v="2"/>
    <n v="2.7569767898262678"/>
  </r>
  <r>
    <x v="0"/>
    <x v="65"/>
    <x v="2"/>
    <n v="-0.93424045133544809"/>
  </r>
  <r>
    <x v="0"/>
    <x v="66"/>
    <x v="2"/>
    <n v="0.88066674414166712"/>
  </r>
  <r>
    <x v="0"/>
    <x v="67"/>
    <x v="2"/>
    <n v="0.86444923361328208"/>
  </r>
  <r>
    <x v="0"/>
    <x v="68"/>
    <x v="2"/>
    <n v="-1.0392628126192991"/>
  </r>
  <r>
    <x v="0"/>
    <x v="69"/>
    <x v="2"/>
    <n v="-0.3771410034602134"/>
  </r>
  <r>
    <x v="0"/>
    <x v="70"/>
    <x v="2"/>
    <n v="0.49961116917460302"/>
  </r>
  <r>
    <x v="0"/>
    <x v="71"/>
    <x v="2"/>
    <n v="-0.54792816605918304"/>
  </r>
  <r>
    <x v="0"/>
    <x v="72"/>
    <x v="2"/>
    <n v="1.471095972275251"/>
  </r>
  <r>
    <x v="0"/>
    <x v="73"/>
    <x v="2"/>
    <n v="-0.28128992399241781"/>
  </r>
  <r>
    <x v="0"/>
    <x v="74"/>
    <x v="2"/>
    <n v="-1.537084463390769"/>
  </r>
  <r>
    <x v="0"/>
    <x v="75"/>
    <x v="2"/>
    <n v="2.923290156417409"/>
  </r>
  <r>
    <x v="0"/>
    <x v="76"/>
    <x v="2"/>
    <n v="-8.2180277316861918"/>
  </r>
  <r>
    <x v="0"/>
    <x v="77"/>
    <x v="2"/>
    <n v="6.0715004071285614"/>
  </r>
  <r>
    <x v="0"/>
    <x v="78"/>
    <x v="2"/>
    <n v="4.6006281246536922"/>
  </r>
  <r>
    <x v="0"/>
    <x v="79"/>
    <x v="2"/>
    <n v="3.599761666271629"/>
  </r>
  <r>
    <x v="0"/>
    <x v="80"/>
    <x v="2"/>
    <n v="-0.26834946903976942"/>
  </r>
  <r>
    <x v="0"/>
    <x v="81"/>
    <x v="2"/>
    <n v="0.89258941050253782"/>
  </r>
  <r>
    <x v="0"/>
    <x v="82"/>
    <x v="2"/>
    <n v="3.050849265090712"/>
  </r>
  <r>
    <x v="0"/>
    <x v="83"/>
    <x v="2"/>
    <n v="-1.33139050744068"/>
  </r>
  <r>
    <x v="0"/>
    <x v="84"/>
    <x v="2"/>
    <n v="-7.0426720445086586"/>
  </r>
  <r>
    <x v="0"/>
    <x v="85"/>
    <x v="2"/>
    <n v="-3.7228693479171291"/>
  </r>
  <r>
    <x v="0"/>
    <x v="86"/>
    <x v="2"/>
    <n v="2.4268106444482882"/>
  </r>
  <r>
    <x v="0"/>
    <x v="87"/>
    <x v="2"/>
    <n v="0.40834573061484042"/>
  </r>
  <r>
    <x v="0"/>
    <x v="88"/>
    <x v="2"/>
    <n v="-3.0210425991885401"/>
  </r>
  <r>
    <x v="0"/>
    <x v="89"/>
    <x v="2"/>
    <n v="3.0884850740066021"/>
  </r>
  <r>
    <x v="0"/>
    <x v="90"/>
    <x v="2"/>
    <n v="2.1586065737778881E-2"/>
  </r>
  <r>
    <x v="0"/>
    <x v="91"/>
    <x v="2"/>
    <n v="2.4926872906636208"/>
  </r>
  <r>
    <x v="0"/>
    <x v="92"/>
    <x v="2"/>
    <n v="-1.909080601441971"/>
  </r>
  <r>
    <x v="0"/>
    <x v="93"/>
    <x v="2"/>
    <n v="0.99418931784039088"/>
  </r>
  <r>
    <x v="0"/>
    <x v="94"/>
    <x v="2"/>
    <n v="-0.1047251041566923"/>
  </r>
  <r>
    <x v="0"/>
    <x v="95"/>
    <x v="2"/>
    <n v="-2.48"/>
  </r>
  <r>
    <x v="1"/>
    <x v="0"/>
    <x v="2"/>
    <m/>
  </r>
  <r>
    <x v="1"/>
    <x v="1"/>
    <x v="2"/>
    <n v="-5.2038272259222316"/>
  </r>
  <r>
    <x v="1"/>
    <x v="2"/>
    <x v="2"/>
    <n v="-8.7924284531943293"/>
  </r>
  <r>
    <x v="1"/>
    <x v="3"/>
    <x v="2"/>
    <n v="2.377381980134091"/>
  </r>
  <r>
    <x v="1"/>
    <x v="4"/>
    <x v="2"/>
    <n v="-0.53837529086417035"/>
  </r>
  <r>
    <x v="1"/>
    <x v="5"/>
    <x v="2"/>
    <n v="-0.40110310867518001"/>
  </r>
  <r>
    <x v="1"/>
    <x v="6"/>
    <x v="2"/>
    <n v="-2.1435887302177399"/>
  </r>
  <r>
    <x v="1"/>
    <x v="7"/>
    <x v="2"/>
    <n v="0.21196587144832971"/>
  </r>
  <r>
    <x v="1"/>
    <x v="8"/>
    <x v="2"/>
    <n v="-2.5811375531952589"/>
  </r>
  <r>
    <x v="1"/>
    <x v="9"/>
    <x v="2"/>
    <n v="-8.9929800075896029"/>
  </r>
  <r>
    <x v="1"/>
    <x v="10"/>
    <x v="2"/>
    <n v="12.432594358999459"/>
  </r>
  <r>
    <x v="1"/>
    <x v="11"/>
    <x v="2"/>
    <n v="4.7837002552143311"/>
  </r>
  <r>
    <x v="1"/>
    <x v="12"/>
    <x v="2"/>
    <n v="-8.9273977469367818"/>
  </r>
  <r>
    <x v="1"/>
    <x v="13"/>
    <x v="2"/>
    <n v="-6.1944698011455692"/>
  </r>
  <r>
    <x v="1"/>
    <x v="14"/>
    <x v="2"/>
    <n v="9.8022951417095907"/>
  </r>
  <r>
    <x v="1"/>
    <x v="15"/>
    <x v="2"/>
    <n v="0.72260637423613971"/>
  </r>
  <r>
    <x v="1"/>
    <x v="16"/>
    <x v="2"/>
    <n v="-4.3660764244064074"/>
  </r>
  <r>
    <x v="1"/>
    <x v="17"/>
    <x v="2"/>
    <n v="1.2452619476756071"/>
  </r>
  <r>
    <x v="1"/>
    <x v="18"/>
    <x v="2"/>
    <n v="1.30683918477623"/>
  </r>
  <r>
    <x v="1"/>
    <x v="19"/>
    <x v="2"/>
    <n v="-6.5281883885541347E-2"/>
  </r>
  <r>
    <x v="1"/>
    <x v="20"/>
    <x v="2"/>
    <n v="1.541233188113742"/>
  </r>
  <r>
    <x v="1"/>
    <x v="21"/>
    <x v="2"/>
    <n v="0.88000379980065979"/>
  </r>
  <r>
    <x v="1"/>
    <x v="22"/>
    <x v="2"/>
    <n v="-0.1672097332651212"/>
  </r>
  <r>
    <x v="1"/>
    <x v="23"/>
    <x v="2"/>
    <n v="4.956216644684611"/>
  </r>
  <r>
    <x v="1"/>
    <x v="24"/>
    <x v="2"/>
    <n v="5.0763673512218332E-2"/>
  </r>
  <r>
    <x v="1"/>
    <x v="25"/>
    <x v="2"/>
    <n v="2.3531515875429818"/>
  </r>
  <r>
    <x v="1"/>
    <x v="26"/>
    <x v="2"/>
    <n v="4.8261535048574302"/>
  </r>
  <r>
    <x v="1"/>
    <x v="27"/>
    <x v="2"/>
    <n v="-0.23940028277658951"/>
  </r>
  <r>
    <x v="1"/>
    <x v="28"/>
    <x v="2"/>
    <n v="-6.5129692990594714"/>
  </r>
  <r>
    <x v="1"/>
    <x v="29"/>
    <x v="2"/>
    <n v="-2.7512509285382509"/>
  </r>
  <r>
    <x v="1"/>
    <x v="30"/>
    <x v="2"/>
    <n v="-5.7739423282631783"/>
  </r>
  <r>
    <x v="1"/>
    <x v="31"/>
    <x v="2"/>
    <n v="-0.8212300791859235"/>
  </r>
  <r>
    <x v="1"/>
    <x v="32"/>
    <x v="2"/>
    <n v="2.1275686360182529"/>
  </r>
  <r>
    <x v="1"/>
    <x v="33"/>
    <x v="2"/>
    <n v="4.9953657498981698"/>
  </r>
  <r>
    <x v="1"/>
    <x v="34"/>
    <x v="2"/>
    <n v="1.9854904255372789"/>
  </r>
  <r>
    <x v="1"/>
    <x v="35"/>
    <x v="2"/>
    <n v="1.067338776410871"/>
  </r>
  <r>
    <x v="1"/>
    <x v="36"/>
    <x v="2"/>
    <n v="-9.7822700239529325E-2"/>
  </r>
  <r>
    <x v="1"/>
    <x v="37"/>
    <x v="2"/>
    <n v="-4.2980911496237511"/>
  </r>
  <r>
    <x v="1"/>
    <x v="38"/>
    <x v="2"/>
    <n v="-0.30227915253136928"/>
  </r>
  <r>
    <x v="1"/>
    <x v="39"/>
    <x v="2"/>
    <n v="-0.44325598153572981"/>
  </r>
  <r>
    <x v="1"/>
    <x v="40"/>
    <x v="2"/>
    <n v="-1.335575228756511"/>
  </r>
  <r>
    <x v="1"/>
    <x v="41"/>
    <x v="2"/>
    <n v="-0.28726031421414971"/>
  </r>
  <r>
    <x v="1"/>
    <x v="42"/>
    <x v="2"/>
    <n v="-4.6030736930521989"/>
  </r>
  <r>
    <x v="1"/>
    <x v="43"/>
    <x v="2"/>
    <n v="0.54338157031723178"/>
  </r>
  <r>
    <x v="1"/>
    <x v="44"/>
    <x v="2"/>
    <n v="1.090267536241827"/>
  </r>
  <r>
    <x v="1"/>
    <x v="45"/>
    <x v="2"/>
    <n v="-0.79830131935495352"/>
  </r>
  <r>
    <x v="1"/>
    <x v="46"/>
    <x v="2"/>
    <n v="0.50833761424371282"/>
  </r>
  <r>
    <x v="1"/>
    <x v="47"/>
    <x v="2"/>
    <n v="1.298328509729791"/>
  </r>
  <r>
    <x v="1"/>
    <x v="48"/>
    <x v="2"/>
    <n v="-0.83654929426949032"/>
  </r>
  <r>
    <x v="1"/>
    <x v="49"/>
    <x v="2"/>
    <n v="-0.88060455333334708"/>
  </r>
  <r>
    <x v="1"/>
    <x v="50"/>
    <x v="2"/>
    <n v="0.25582087933675268"/>
  </r>
  <r>
    <x v="1"/>
    <x v="51"/>
    <x v="2"/>
    <n v="0.529664364654165"/>
  </r>
  <r>
    <x v="1"/>
    <x v="52"/>
    <x v="2"/>
    <n v="-1.1946985253409339"/>
  </r>
  <r>
    <x v="1"/>
    <x v="53"/>
    <x v="2"/>
    <n v="0.50082819508510212"/>
  </r>
  <r>
    <x v="1"/>
    <x v="54"/>
    <x v="2"/>
    <n v="-0.26122766113095253"/>
  </r>
  <r>
    <x v="1"/>
    <x v="55"/>
    <x v="2"/>
    <n v="0.56621020455941462"/>
  </r>
  <r>
    <x v="1"/>
    <x v="56"/>
    <x v="2"/>
    <n v="1.060430110784941"/>
  </r>
  <r>
    <x v="1"/>
    <x v="57"/>
    <x v="2"/>
    <n v="0.5402776770649993"/>
  </r>
  <r>
    <x v="1"/>
    <x v="58"/>
    <x v="2"/>
    <n v="-2.8363576790025111"/>
  </r>
  <r>
    <x v="1"/>
    <x v="59"/>
    <x v="2"/>
    <n v="0.79359541668221745"/>
  </r>
  <r>
    <x v="1"/>
    <x v="60"/>
    <x v="2"/>
    <n v="1.150543140688294"/>
  </r>
  <r>
    <x v="1"/>
    <x v="61"/>
    <x v="2"/>
    <n v="-9.3917802277051265E-2"/>
  </r>
  <r>
    <x v="1"/>
    <x v="62"/>
    <x v="2"/>
    <n v="3.8146848069866111"/>
  </r>
  <r>
    <x v="1"/>
    <x v="63"/>
    <x v="2"/>
    <n v="-1.0767505817563201"/>
  </r>
  <r>
    <x v="1"/>
    <x v="64"/>
    <x v="2"/>
    <n v="1.71835535466821"/>
  </r>
  <r>
    <x v="1"/>
    <x v="65"/>
    <x v="2"/>
    <n v="0.29977601281182048"/>
  </r>
  <r>
    <x v="1"/>
    <x v="66"/>
    <x v="2"/>
    <n v="0.34303026716544949"/>
  </r>
  <r>
    <x v="1"/>
    <x v="67"/>
    <x v="2"/>
    <n v="0.1881359813204497"/>
  </r>
  <r>
    <x v="1"/>
    <x v="68"/>
    <x v="2"/>
    <n v="-0.6900655578821393"/>
  </r>
  <r>
    <x v="1"/>
    <x v="69"/>
    <x v="2"/>
    <n v="-1.245061696498031"/>
  </r>
  <r>
    <x v="1"/>
    <x v="70"/>
    <x v="2"/>
    <n v="-1.25287149242299"/>
  </r>
  <r>
    <x v="1"/>
    <x v="71"/>
    <x v="2"/>
    <n v="-0.83174326600796888"/>
  </r>
  <r>
    <x v="1"/>
    <x v="72"/>
    <x v="2"/>
    <n v="1.7311714300322389"/>
  </r>
  <r>
    <x v="1"/>
    <x v="73"/>
    <x v="2"/>
    <n v="-0.64480879175289019"/>
  </r>
  <r>
    <x v="1"/>
    <x v="74"/>
    <x v="2"/>
    <n v="2.8235416036380911E-2"/>
  </r>
  <r>
    <x v="1"/>
    <x v="75"/>
    <x v="2"/>
    <n v="1.13272078588518"/>
  </r>
  <r>
    <x v="1"/>
    <x v="76"/>
    <x v="2"/>
    <n v="-1.5052881017411599"/>
  </r>
  <r>
    <x v="1"/>
    <x v="77"/>
    <x v="2"/>
    <n v="2.4050166425317698"/>
  </r>
  <r>
    <x v="1"/>
    <x v="78"/>
    <x v="2"/>
    <n v="3.8752607881994088"/>
  </r>
  <r>
    <x v="1"/>
    <x v="79"/>
    <x v="2"/>
    <n v="1.487565872526829"/>
  </r>
  <r>
    <x v="1"/>
    <x v="80"/>
    <x v="2"/>
    <n v="-1.854726406588618"/>
  </r>
  <r>
    <x v="1"/>
    <x v="81"/>
    <x v="2"/>
    <n v="1.82899413027177"/>
  </r>
  <r>
    <x v="1"/>
    <x v="82"/>
    <x v="2"/>
    <n v="-5.388358685865521"/>
  </r>
  <r>
    <x v="1"/>
    <x v="83"/>
    <x v="2"/>
    <n v="-0.78538511840212877"/>
  </r>
  <r>
    <x v="1"/>
    <x v="84"/>
    <x v="2"/>
    <n v="-0.61086621715598"/>
  </r>
  <r>
    <x v="1"/>
    <x v="85"/>
    <x v="2"/>
    <n v="-3.6846216671591492E-2"/>
  </r>
  <r>
    <x v="1"/>
    <x v="86"/>
    <x v="2"/>
    <n v="-2.186442482221739"/>
  </r>
  <r>
    <x v="1"/>
    <x v="87"/>
    <x v="2"/>
    <n v="2.0377559828811989"/>
  </r>
  <r>
    <x v="1"/>
    <x v="88"/>
    <x v="2"/>
    <n v="0.60005265356757143"/>
  </r>
  <r>
    <x v="1"/>
    <x v="89"/>
    <x v="2"/>
    <n v="-2.307294067881021"/>
  </r>
  <r>
    <x v="1"/>
    <x v="90"/>
    <x v="2"/>
    <n v="0.69927711205003007"/>
  </r>
  <r>
    <x v="1"/>
    <x v="91"/>
    <x v="2"/>
    <n v="-0.8792027950904"/>
  </r>
  <r>
    <x v="1"/>
    <x v="92"/>
    <x v="2"/>
    <n v="-0.1921410048717096"/>
  </r>
  <r>
    <x v="1"/>
    <x v="93"/>
    <x v="2"/>
    <n v="0.54288094237332984"/>
  </r>
  <r>
    <x v="1"/>
    <x v="94"/>
    <x v="2"/>
    <n v="1.625473262899799"/>
  </r>
  <r>
    <x v="1"/>
    <x v="95"/>
    <x v="2"/>
    <n v="-2.1399999999999988"/>
  </r>
  <r>
    <x v="0"/>
    <x v="0"/>
    <x v="3"/>
    <m/>
  </r>
  <r>
    <x v="0"/>
    <x v="1"/>
    <x v="3"/>
    <n v="-41344586624.876007"/>
  </r>
  <r>
    <x v="0"/>
    <x v="2"/>
    <x v="3"/>
    <n v="-52396091329.843201"/>
  </r>
  <r>
    <x v="0"/>
    <x v="3"/>
    <x v="3"/>
    <n v="28482641944.47662"/>
  </r>
  <r>
    <x v="0"/>
    <x v="4"/>
    <x v="3"/>
    <n v="33381270938.5802"/>
  </r>
  <r>
    <x v="0"/>
    <x v="5"/>
    <x v="3"/>
    <n v="7378355995.5585022"/>
  </r>
  <r>
    <x v="0"/>
    <x v="6"/>
    <x v="3"/>
    <n v="-32025005738.290409"/>
  </r>
  <r>
    <x v="0"/>
    <x v="7"/>
    <x v="3"/>
    <n v="20857502523.9505"/>
  </r>
  <r>
    <x v="0"/>
    <x v="8"/>
    <x v="3"/>
    <n v="-34323110680.21051"/>
  </r>
  <r>
    <x v="0"/>
    <x v="9"/>
    <x v="3"/>
    <n v="70757637944.825989"/>
  </r>
  <r>
    <x v="0"/>
    <x v="10"/>
    <x v="3"/>
    <n v="63785325885.768799"/>
  </r>
  <r>
    <x v="0"/>
    <x v="11"/>
    <x v="3"/>
    <n v="93296629833.420593"/>
  </r>
  <r>
    <x v="0"/>
    <x v="12"/>
    <x v="3"/>
    <n v="-21989754266.30859"/>
  </r>
  <r>
    <x v="0"/>
    <x v="13"/>
    <x v="3"/>
    <n v="-53894410463.09021"/>
  </r>
  <r>
    <x v="0"/>
    <x v="14"/>
    <x v="3"/>
    <n v="82936979821.589905"/>
  </r>
  <r>
    <x v="0"/>
    <x v="15"/>
    <x v="3"/>
    <n v="161662229564.82339"/>
  </r>
  <r>
    <x v="0"/>
    <x v="16"/>
    <x v="3"/>
    <n v="2916353505.6430659"/>
  </r>
  <r>
    <x v="0"/>
    <x v="17"/>
    <x v="3"/>
    <n v="6894475691.4238281"/>
  </r>
  <r>
    <x v="0"/>
    <x v="18"/>
    <x v="3"/>
    <n v="170153990232.87939"/>
  </r>
  <r>
    <x v="0"/>
    <x v="19"/>
    <x v="3"/>
    <n v="65545896073.820801"/>
  </r>
  <r>
    <x v="0"/>
    <x v="20"/>
    <x v="3"/>
    <n v="184523871853.23679"/>
  </r>
  <r>
    <x v="0"/>
    <x v="21"/>
    <x v="3"/>
    <n v="-120834003322.90041"/>
  </r>
  <r>
    <x v="0"/>
    <x v="22"/>
    <x v="3"/>
    <n v="67242957833.175293"/>
  </r>
  <r>
    <x v="0"/>
    <x v="23"/>
    <x v="3"/>
    <n v="181618918957.17111"/>
  </r>
  <r>
    <x v="0"/>
    <x v="24"/>
    <x v="3"/>
    <n v="-85296228329.959106"/>
  </r>
  <r>
    <x v="0"/>
    <x v="25"/>
    <x v="3"/>
    <n v="179102592087.88101"/>
  </r>
  <r>
    <x v="0"/>
    <x v="26"/>
    <x v="3"/>
    <n v="341419173747.92407"/>
  </r>
  <r>
    <x v="0"/>
    <x v="27"/>
    <x v="3"/>
    <n v="391707994723.03912"/>
  </r>
  <r>
    <x v="0"/>
    <x v="28"/>
    <x v="3"/>
    <n v="-442754387375.23712"/>
  </r>
  <r>
    <x v="0"/>
    <x v="29"/>
    <x v="3"/>
    <n v="-344062392116.146"/>
  </r>
  <r>
    <x v="0"/>
    <x v="30"/>
    <x v="3"/>
    <n v="-29734916395.51392"/>
  </r>
  <r>
    <x v="0"/>
    <x v="31"/>
    <x v="3"/>
    <n v="-305497185714.65002"/>
  </r>
  <r>
    <x v="0"/>
    <x v="32"/>
    <x v="3"/>
    <n v="-70398751419.473389"/>
  </r>
  <r>
    <x v="0"/>
    <x v="33"/>
    <x v="3"/>
    <n v="481614645927.89728"/>
  </r>
  <r>
    <x v="0"/>
    <x v="34"/>
    <x v="3"/>
    <n v="70481200661.983887"/>
  </r>
  <r>
    <x v="0"/>
    <x v="35"/>
    <x v="3"/>
    <n v="38501784188.133057"/>
  </r>
  <r>
    <x v="0"/>
    <x v="36"/>
    <x v="3"/>
    <n v="46800003856.717041"/>
  </r>
  <r>
    <x v="0"/>
    <x v="37"/>
    <x v="3"/>
    <n v="80053116617.848877"/>
  </r>
  <r>
    <x v="0"/>
    <x v="38"/>
    <x v="3"/>
    <n v="75202151605.37207"/>
  </r>
  <r>
    <x v="0"/>
    <x v="39"/>
    <x v="3"/>
    <n v="2607920943.0109859"/>
  </r>
  <r>
    <x v="0"/>
    <x v="40"/>
    <x v="3"/>
    <n v="-94320925651.682861"/>
  </r>
  <r>
    <x v="0"/>
    <x v="41"/>
    <x v="3"/>
    <n v="-34188224631.291019"/>
  </r>
  <r>
    <x v="0"/>
    <x v="42"/>
    <x v="3"/>
    <n v="-245785750648.06491"/>
  </r>
  <r>
    <x v="0"/>
    <x v="43"/>
    <x v="3"/>
    <n v="-117593106954.80811"/>
  </r>
  <r>
    <x v="0"/>
    <x v="44"/>
    <x v="3"/>
    <n v="145530548426.09109"/>
  </r>
  <r>
    <x v="0"/>
    <x v="45"/>
    <x v="3"/>
    <n v="-56059806812.985107"/>
  </r>
  <r>
    <x v="0"/>
    <x v="46"/>
    <x v="3"/>
    <n v="36369359043.578117"/>
  </r>
  <r>
    <x v="0"/>
    <x v="47"/>
    <x v="3"/>
    <n v="37701928479.407959"/>
  </r>
  <r>
    <x v="0"/>
    <x v="48"/>
    <x v="3"/>
    <n v="-95293232996.989014"/>
  </r>
  <r>
    <x v="0"/>
    <x v="49"/>
    <x v="3"/>
    <n v="-25938369519.193119"/>
  </r>
  <r>
    <x v="0"/>
    <x v="50"/>
    <x v="3"/>
    <n v="-43520352963.405029"/>
  </r>
  <r>
    <x v="0"/>
    <x v="51"/>
    <x v="3"/>
    <n v="64441886508.301033"/>
  </r>
  <r>
    <x v="0"/>
    <x v="52"/>
    <x v="3"/>
    <n v="82058970160.337158"/>
  </r>
  <r>
    <x v="0"/>
    <x v="53"/>
    <x v="3"/>
    <n v="260342670287.728"/>
  </r>
  <r>
    <x v="0"/>
    <x v="54"/>
    <x v="3"/>
    <n v="6752492354.6428223"/>
  </r>
  <r>
    <x v="0"/>
    <x v="55"/>
    <x v="3"/>
    <n v="33154122645.105961"/>
  </r>
  <r>
    <x v="0"/>
    <x v="56"/>
    <x v="3"/>
    <n v="84105088961.976074"/>
  </r>
  <r>
    <x v="0"/>
    <x v="57"/>
    <x v="3"/>
    <n v="-30365388607.397949"/>
  </r>
  <r>
    <x v="0"/>
    <x v="58"/>
    <x v="3"/>
    <n v="-136821541132.21091"/>
  </r>
  <r>
    <x v="0"/>
    <x v="59"/>
    <x v="3"/>
    <n v="24285251867.811039"/>
  </r>
  <r>
    <x v="0"/>
    <x v="60"/>
    <x v="3"/>
    <n v="-46780862223.77002"/>
  </r>
  <r>
    <x v="0"/>
    <x v="61"/>
    <x v="3"/>
    <n v="87093223106.649902"/>
  </r>
  <r>
    <x v="0"/>
    <x v="62"/>
    <x v="3"/>
    <n v="63035623172.51001"/>
  </r>
  <r>
    <x v="0"/>
    <x v="63"/>
    <x v="3"/>
    <n v="-53227816067.531982"/>
  </r>
  <r>
    <x v="0"/>
    <x v="64"/>
    <x v="3"/>
    <n v="267823213539.7449"/>
  </r>
  <r>
    <x v="0"/>
    <x v="65"/>
    <x v="3"/>
    <n v="14402881736.599119"/>
  </r>
  <r>
    <x v="0"/>
    <x v="66"/>
    <x v="3"/>
    <n v="45450021328.301033"/>
  </r>
  <r>
    <x v="0"/>
    <x v="67"/>
    <x v="3"/>
    <n v="243979228916.52289"/>
  </r>
  <r>
    <x v="0"/>
    <x v="68"/>
    <x v="3"/>
    <n v="-117521706603.1279"/>
  </r>
  <r>
    <x v="0"/>
    <x v="69"/>
    <x v="3"/>
    <n v="48583892687.815918"/>
  </r>
  <r>
    <x v="0"/>
    <x v="70"/>
    <x v="3"/>
    <n v="-105426328251.21091"/>
  </r>
  <r>
    <x v="0"/>
    <x v="71"/>
    <x v="3"/>
    <n v="19401892802.217041"/>
  </r>
  <r>
    <x v="0"/>
    <x v="72"/>
    <x v="3"/>
    <n v="23694918004.234859"/>
  </r>
  <r>
    <x v="0"/>
    <x v="73"/>
    <x v="3"/>
    <n v="-5783260382.9770508"/>
  </r>
  <r>
    <x v="0"/>
    <x v="74"/>
    <x v="3"/>
    <n v="-100011099454.136"/>
  </r>
  <r>
    <x v="0"/>
    <x v="75"/>
    <x v="3"/>
    <n v="62116115346.750977"/>
  </r>
  <r>
    <x v="0"/>
    <x v="76"/>
    <x v="3"/>
    <n v="-524412618626.85992"/>
  </r>
  <r>
    <x v="0"/>
    <x v="77"/>
    <x v="3"/>
    <n v="306708424789.8501"/>
  </r>
  <r>
    <x v="0"/>
    <x v="78"/>
    <x v="3"/>
    <n v="154725278773.28589"/>
  </r>
  <r>
    <x v="0"/>
    <x v="79"/>
    <x v="3"/>
    <n v="356788905889.81488"/>
  </r>
  <r>
    <x v="0"/>
    <x v="80"/>
    <x v="3"/>
    <n v="202333081845.00201"/>
  </r>
  <r>
    <x v="0"/>
    <x v="81"/>
    <x v="3"/>
    <n v="260758221963.71091"/>
  </r>
  <r>
    <x v="0"/>
    <x v="82"/>
    <x v="3"/>
    <n v="297180360818.76221"/>
  </r>
  <r>
    <x v="0"/>
    <x v="83"/>
    <x v="3"/>
    <n v="14413212012.78516"/>
  </r>
  <r>
    <x v="0"/>
    <x v="84"/>
    <x v="3"/>
    <n v="-22662188760.519039"/>
  </r>
  <r>
    <x v="0"/>
    <x v="85"/>
    <x v="3"/>
    <n v="-299276186802.28912"/>
  </r>
  <r>
    <x v="0"/>
    <x v="86"/>
    <x v="3"/>
    <n v="267160521568.1709"/>
  </r>
  <r>
    <x v="0"/>
    <x v="87"/>
    <x v="3"/>
    <n v="68788781256.453125"/>
  </r>
  <r>
    <x v="0"/>
    <x v="88"/>
    <x v="3"/>
    <n v="-268745476951.061"/>
  </r>
  <r>
    <x v="0"/>
    <x v="89"/>
    <x v="3"/>
    <n v="356854801705.81488"/>
  </r>
  <r>
    <x v="0"/>
    <x v="90"/>
    <x v="3"/>
    <n v="147476988944.7529"/>
  </r>
  <r>
    <x v="0"/>
    <x v="91"/>
    <x v="3"/>
    <n v="461848881581.08691"/>
  </r>
  <r>
    <x v="0"/>
    <x v="92"/>
    <x v="3"/>
    <n v="224653602750.52829"/>
  </r>
  <r>
    <x v="0"/>
    <x v="93"/>
    <x v="3"/>
    <n v="457403616624.63568"/>
  </r>
  <r>
    <x v="0"/>
    <x v="94"/>
    <x v="3"/>
    <n v="301363080153.18121"/>
  </r>
  <r>
    <x v="0"/>
    <x v="95"/>
    <x v="3"/>
    <n v="-362350017176.16602"/>
  </r>
  <r>
    <x v="1"/>
    <x v="0"/>
    <x v="3"/>
    <m/>
  </r>
  <r>
    <x v="1"/>
    <x v="1"/>
    <x v="3"/>
    <n v="71849200123.938965"/>
  </r>
  <r>
    <x v="1"/>
    <x v="2"/>
    <x v="3"/>
    <n v="-164005699966.54489"/>
  </r>
  <r>
    <x v="1"/>
    <x v="3"/>
    <x v="3"/>
    <n v="-61658396274.01709"/>
  </r>
  <r>
    <x v="1"/>
    <x v="4"/>
    <x v="3"/>
    <n v="-16468285853.0907"/>
  </r>
  <r>
    <x v="1"/>
    <x v="5"/>
    <x v="3"/>
    <n v="119741090911.8488"/>
  </r>
  <r>
    <x v="1"/>
    <x v="6"/>
    <x v="3"/>
    <n v="-70863382408.631958"/>
  </r>
  <r>
    <x v="1"/>
    <x v="7"/>
    <x v="3"/>
    <n v="-144908519488.8656"/>
  </r>
  <r>
    <x v="1"/>
    <x v="8"/>
    <x v="3"/>
    <n v="84291037748.985352"/>
  </r>
  <r>
    <x v="1"/>
    <x v="9"/>
    <x v="3"/>
    <n v="-13660108961.38245"/>
  </r>
  <r>
    <x v="1"/>
    <x v="10"/>
    <x v="3"/>
    <n v="-51792080000.729134"/>
  </r>
  <r>
    <x v="1"/>
    <x v="11"/>
    <x v="3"/>
    <n v="50489039966.854492"/>
  </r>
  <r>
    <x v="1"/>
    <x v="12"/>
    <x v="3"/>
    <n v="156951705044.2124"/>
  </r>
  <r>
    <x v="1"/>
    <x v="13"/>
    <x v="3"/>
    <n v="-221309389206.70459"/>
  </r>
  <r>
    <x v="1"/>
    <x v="14"/>
    <x v="3"/>
    <n v="10164016650.08386"/>
  </r>
  <r>
    <x v="1"/>
    <x v="15"/>
    <x v="3"/>
    <n v="-90466930184.542725"/>
  </r>
  <r>
    <x v="1"/>
    <x v="16"/>
    <x v="3"/>
    <n v="-59375930073.177856"/>
  </r>
  <r>
    <x v="1"/>
    <x v="17"/>
    <x v="3"/>
    <n v="-63434651937.915527"/>
  </r>
  <r>
    <x v="1"/>
    <x v="18"/>
    <x v="3"/>
    <n v="39708953217.419678"/>
  </r>
  <r>
    <x v="1"/>
    <x v="19"/>
    <x v="3"/>
    <n v="-26068532431.759769"/>
  </r>
  <r>
    <x v="1"/>
    <x v="20"/>
    <x v="3"/>
    <n v="50775701332.375"/>
  </r>
  <r>
    <x v="1"/>
    <x v="21"/>
    <x v="3"/>
    <n v="189873000242.0155"/>
  </r>
  <r>
    <x v="1"/>
    <x v="22"/>
    <x v="3"/>
    <n v="173357705015.94031"/>
  </r>
  <r>
    <x v="1"/>
    <x v="23"/>
    <x v="3"/>
    <n v="760872255613.96704"/>
  </r>
  <r>
    <x v="1"/>
    <x v="24"/>
    <x v="3"/>
    <n v="745131672863.64185"/>
  </r>
  <r>
    <x v="1"/>
    <x v="25"/>
    <x v="3"/>
    <n v="766194974212.06396"/>
  </r>
  <r>
    <x v="1"/>
    <x v="26"/>
    <x v="3"/>
    <n v="1655276414282.3459"/>
  </r>
  <r>
    <x v="1"/>
    <x v="27"/>
    <x v="3"/>
    <n v="1361018063778.9409"/>
  </r>
  <r>
    <x v="1"/>
    <x v="28"/>
    <x v="3"/>
    <n v="-2116064506999.9089"/>
  </r>
  <r>
    <x v="1"/>
    <x v="29"/>
    <x v="3"/>
    <n v="-924125972219.19629"/>
  </r>
  <r>
    <x v="1"/>
    <x v="30"/>
    <x v="3"/>
    <n v="-555797049429.14014"/>
  </r>
  <r>
    <x v="1"/>
    <x v="31"/>
    <x v="3"/>
    <n v="-484141302206.63281"/>
  </r>
  <r>
    <x v="1"/>
    <x v="32"/>
    <x v="3"/>
    <n v="751836965927.95508"/>
  </r>
  <r>
    <x v="1"/>
    <x v="33"/>
    <x v="3"/>
    <n v="787823504371.01807"/>
  </r>
  <r>
    <x v="1"/>
    <x v="34"/>
    <x v="3"/>
    <n v="-88098582826.126953"/>
  </r>
  <r>
    <x v="1"/>
    <x v="35"/>
    <x v="3"/>
    <n v="858704826210.49023"/>
  </r>
  <r>
    <x v="1"/>
    <x v="36"/>
    <x v="3"/>
    <n v="-69001501431.794922"/>
  </r>
  <r>
    <x v="1"/>
    <x v="37"/>
    <x v="3"/>
    <n v="-920946432673.34863"/>
  </r>
  <r>
    <x v="1"/>
    <x v="38"/>
    <x v="3"/>
    <n v="786619590468.09961"/>
  </r>
  <r>
    <x v="1"/>
    <x v="39"/>
    <x v="3"/>
    <n v="387271858215.64447"/>
  </r>
  <r>
    <x v="1"/>
    <x v="40"/>
    <x v="3"/>
    <n v="98821891586.405273"/>
  </r>
  <r>
    <x v="1"/>
    <x v="41"/>
    <x v="3"/>
    <n v="-263410661511.57031"/>
  </r>
  <r>
    <x v="1"/>
    <x v="42"/>
    <x v="3"/>
    <n v="-614185950085.56006"/>
  </r>
  <r>
    <x v="1"/>
    <x v="43"/>
    <x v="3"/>
    <n v="-310325517325.85992"/>
  </r>
  <r>
    <x v="1"/>
    <x v="44"/>
    <x v="3"/>
    <n v="109847294003.8091"/>
  </r>
  <r>
    <x v="1"/>
    <x v="45"/>
    <x v="3"/>
    <n v="39912618464.874023"/>
  </r>
  <r>
    <x v="1"/>
    <x v="46"/>
    <x v="3"/>
    <n v="-215606659246.16599"/>
  </r>
  <r>
    <x v="1"/>
    <x v="47"/>
    <x v="3"/>
    <n v="253702356145.41501"/>
  </r>
  <r>
    <x v="1"/>
    <x v="48"/>
    <x v="3"/>
    <n v="-20765540850.354"/>
  </r>
  <r>
    <x v="1"/>
    <x v="49"/>
    <x v="3"/>
    <n v="-331249508257.396"/>
  </r>
  <r>
    <x v="1"/>
    <x v="50"/>
    <x v="3"/>
    <n v="455117456376.33301"/>
  </r>
  <r>
    <x v="1"/>
    <x v="51"/>
    <x v="3"/>
    <n v="-69290610317.100098"/>
  </r>
  <r>
    <x v="1"/>
    <x v="52"/>
    <x v="3"/>
    <n v="-91897094766.565918"/>
  </r>
  <r>
    <x v="1"/>
    <x v="53"/>
    <x v="3"/>
    <n v="143539428150.66159"/>
  </r>
  <r>
    <x v="1"/>
    <x v="54"/>
    <x v="3"/>
    <n v="794707558800.92969"/>
  </r>
  <r>
    <x v="1"/>
    <x v="55"/>
    <x v="3"/>
    <n v="1267180776463.8579"/>
  </r>
  <r>
    <x v="1"/>
    <x v="56"/>
    <x v="3"/>
    <n v="1614373809015.3601"/>
  </r>
  <r>
    <x v="1"/>
    <x v="57"/>
    <x v="3"/>
    <n v="1760013157255.5481"/>
  </r>
  <r>
    <x v="1"/>
    <x v="58"/>
    <x v="3"/>
    <n v="-2708612827588.6479"/>
  </r>
  <r>
    <x v="1"/>
    <x v="59"/>
    <x v="3"/>
    <n v="1789820684877.325"/>
  </r>
  <r>
    <x v="1"/>
    <x v="60"/>
    <x v="3"/>
    <n v="-1358915741040.3899"/>
  </r>
  <r>
    <x v="1"/>
    <x v="61"/>
    <x v="3"/>
    <n v="161843425288.66891"/>
  </r>
  <r>
    <x v="1"/>
    <x v="62"/>
    <x v="3"/>
    <n v="331263813166"/>
  </r>
  <r>
    <x v="1"/>
    <x v="63"/>
    <x v="3"/>
    <n v="315672247818.76563"/>
  </r>
  <r>
    <x v="1"/>
    <x v="64"/>
    <x v="3"/>
    <n v="415561245101.49219"/>
  </r>
  <r>
    <x v="1"/>
    <x v="65"/>
    <x v="3"/>
    <n v="-60293840764.364258"/>
  </r>
  <r>
    <x v="1"/>
    <x v="66"/>
    <x v="3"/>
    <n v="515674295066.14648"/>
  </r>
  <r>
    <x v="1"/>
    <x v="67"/>
    <x v="3"/>
    <n v="-98990565457.986328"/>
  </r>
  <r>
    <x v="1"/>
    <x v="68"/>
    <x v="3"/>
    <n v="-227888333639.93851"/>
  </r>
  <r>
    <x v="1"/>
    <x v="69"/>
    <x v="3"/>
    <n v="-789169203316.62598"/>
  </r>
  <r>
    <x v="1"/>
    <x v="70"/>
    <x v="3"/>
    <n v="-334824154733.11719"/>
  </r>
  <r>
    <x v="1"/>
    <x v="71"/>
    <x v="3"/>
    <n v="-824938352149.51367"/>
  </r>
  <r>
    <x v="1"/>
    <x v="72"/>
    <x v="3"/>
    <n v="1845978875002.1421"/>
  </r>
  <r>
    <x v="1"/>
    <x v="73"/>
    <x v="3"/>
    <n v="-408678063064.08502"/>
  </r>
  <r>
    <x v="1"/>
    <x v="74"/>
    <x v="3"/>
    <n v="55035151579.200203"/>
  </r>
  <r>
    <x v="1"/>
    <x v="75"/>
    <x v="3"/>
    <n v="526304511374.96973"/>
  </r>
  <r>
    <x v="1"/>
    <x v="76"/>
    <x v="3"/>
    <n v="-569315683878.27246"/>
  </r>
  <r>
    <x v="1"/>
    <x v="77"/>
    <x v="3"/>
    <n v="1407575707761.2141"/>
  </r>
  <r>
    <x v="1"/>
    <x v="78"/>
    <x v="3"/>
    <n v="1022925398567.809"/>
  </r>
  <r>
    <x v="1"/>
    <x v="79"/>
    <x v="3"/>
    <n v="1078314231836.3199"/>
  </r>
  <r>
    <x v="1"/>
    <x v="80"/>
    <x v="3"/>
    <n v="-356556711270.68951"/>
  </r>
  <r>
    <x v="1"/>
    <x v="81"/>
    <x v="3"/>
    <n v="1216101194882.719"/>
  </r>
  <r>
    <x v="1"/>
    <x v="82"/>
    <x v="3"/>
    <n v="37475153618.980469"/>
  </r>
  <r>
    <x v="1"/>
    <x v="83"/>
    <x v="3"/>
    <n v="587327845693.65039"/>
  </r>
  <r>
    <x v="1"/>
    <x v="84"/>
    <x v="3"/>
    <n v="-1667335961067.8611"/>
  </r>
  <r>
    <x v="1"/>
    <x v="85"/>
    <x v="3"/>
    <n v="553038067266.49023"/>
  </r>
  <r>
    <x v="1"/>
    <x v="86"/>
    <x v="3"/>
    <n v="-1286556623337.6599"/>
  </r>
  <r>
    <x v="1"/>
    <x v="87"/>
    <x v="3"/>
    <n v="382035476682.08978"/>
  </r>
  <r>
    <x v="1"/>
    <x v="88"/>
    <x v="3"/>
    <n v="820929774784.4707"/>
  </r>
  <r>
    <x v="1"/>
    <x v="89"/>
    <x v="3"/>
    <n v="-146950422257.95901"/>
  </r>
  <r>
    <x v="1"/>
    <x v="90"/>
    <x v="3"/>
    <n v="-466305770391.48053"/>
  </r>
  <r>
    <x v="1"/>
    <x v="91"/>
    <x v="3"/>
    <n v="-380022221622.34961"/>
  </r>
  <r>
    <x v="1"/>
    <x v="92"/>
    <x v="3"/>
    <n v="-113833957966.2617"/>
  </r>
  <r>
    <x v="1"/>
    <x v="93"/>
    <x v="3"/>
    <n v="-454797362529.43951"/>
  </r>
  <r>
    <x v="1"/>
    <x v="94"/>
    <x v="3"/>
    <n v="1465918895759.73"/>
  </r>
  <r>
    <x v="1"/>
    <x v="95"/>
    <x v="3"/>
    <n v="219713772164.25"/>
  </r>
  <r>
    <x v="0"/>
    <x v="0"/>
    <x v="4"/>
    <m/>
  </r>
  <r>
    <x v="0"/>
    <x v="1"/>
    <x v="4"/>
    <n v="-170107963113.80621"/>
  </r>
  <r>
    <x v="0"/>
    <x v="2"/>
    <x v="4"/>
    <n v="-26501283615.430561"/>
  </r>
  <r>
    <x v="0"/>
    <x v="3"/>
    <x v="4"/>
    <n v="23394088284.093929"/>
  </r>
  <r>
    <x v="0"/>
    <x v="4"/>
    <x v="4"/>
    <n v="19653720929.058849"/>
  </r>
  <r>
    <x v="0"/>
    <x v="5"/>
    <x v="4"/>
    <n v="-10343256979.67935"/>
  </r>
  <r>
    <x v="0"/>
    <x v="6"/>
    <x v="4"/>
    <n v="-7533816223.3189392"/>
  </r>
  <r>
    <x v="0"/>
    <x v="7"/>
    <x v="4"/>
    <n v="11200766927.1243"/>
  </r>
  <r>
    <x v="0"/>
    <x v="8"/>
    <x v="4"/>
    <n v="-6814447321.305954"/>
  </r>
  <r>
    <x v="0"/>
    <x v="9"/>
    <x v="4"/>
    <n v="-793297752.56190491"/>
  </r>
  <r>
    <x v="0"/>
    <x v="10"/>
    <x v="4"/>
    <n v="54782100578.453339"/>
  </r>
  <r>
    <x v="0"/>
    <x v="11"/>
    <x v="4"/>
    <n v="32610182634.511108"/>
  </r>
  <r>
    <x v="0"/>
    <x v="12"/>
    <x v="4"/>
    <n v="16201458157.088989"/>
  </r>
  <r>
    <x v="0"/>
    <x v="13"/>
    <x v="4"/>
    <n v="-39687630922.116386"/>
  </r>
  <r>
    <x v="0"/>
    <x v="14"/>
    <x v="4"/>
    <n v="-13181820689.40579"/>
  </r>
  <r>
    <x v="0"/>
    <x v="15"/>
    <x v="4"/>
    <n v="1777722331.1682129"/>
  </r>
  <r>
    <x v="0"/>
    <x v="16"/>
    <x v="4"/>
    <n v="25426340357.832279"/>
  </r>
  <r>
    <x v="0"/>
    <x v="17"/>
    <x v="4"/>
    <n v="-17069134941.444269"/>
  </r>
  <r>
    <x v="0"/>
    <x v="18"/>
    <x v="4"/>
    <n v="70795826066.883087"/>
  </r>
  <r>
    <x v="0"/>
    <x v="19"/>
    <x v="4"/>
    <n v="-25904138660.572201"/>
  </r>
  <r>
    <x v="0"/>
    <x v="20"/>
    <x v="4"/>
    <n v="66524283797.281311"/>
  </r>
  <r>
    <x v="0"/>
    <x v="21"/>
    <x v="4"/>
    <n v="2527395736.17099"/>
  </r>
  <r>
    <x v="0"/>
    <x v="22"/>
    <x v="4"/>
    <n v="-72440971438.932281"/>
  </r>
  <r>
    <x v="0"/>
    <x v="23"/>
    <x v="4"/>
    <n v="51203934000.494598"/>
  </r>
  <r>
    <x v="0"/>
    <x v="24"/>
    <x v="4"/>
    <n v="6510010355.8423767"/>
  </r>
  <r>
    <x v="0"/>
    <x v="25"/>
    <x v="4"/>
    <n v="17240547617.324009"/>
  </r>
  <r>
    <x v="0"/>
    <x v="26"/>
    <x v="4"/>
    <n v="77451137347.265015"/>
  </r>
  <r>
    <x v="0"/>
    <x v="27"/>
    <x v="4"/>
    <n v="194482816036.81299"/>
  </r>
  <r>
    <x v="0"/>
    <x v="28"/>
    <x v="4"/>
    <n v="-116925183636.6707"/>
  </r>
  <r>
    <x v="0"/>
    <x v="29"/>
    <x v="4"/>
    <n v="-80031986326.602478"/>
  </r>
  <r>
    <x v="0"/>
    <x v="30"/>
    <x v="4"/>
    <n v="-24695366899.653381"/>
  </r>
  <r>
    <x v="0"/>
    <x v="31"/>
    <x v="4"/>
    <n v="-88955066046.48941"/>
  </r>
  <r>
    <x v="0"/>
    <x v="32"/>
    <x v="4"/>
    <n v="-24314910281.579498"/>
  </r>
  <r>
    <x v="0"/>
    <x v="33"/>
    <x v="4"/>
    <n v="202764083087.3125"/>
  </r>
  <r>
    <x v="0"/>
    <x v="34"/>
    <x v="4"/>
    <n v="-17623721816.309391"/>
  </r>
  <r>
    <x v="0"/>
    <x v="35"/>
    <x v="4"/>
    <n v="-72660473044.772644"/>
  </r>
  <r>
    <x v="0"/>
    <x v="36"/>
    <x v="4"/>
    <n v="-36772543911.094597"/>
  </r>
  <r>
    <x v="0"/>
    <x v="37"/>
    <x v="4"/>
    <n v="-14155609874.33127"/>
  </r>
  <r>
    <x v="0"/>
    <x v="38"/>
    <x v="4"/>
    <n v="16833705892.9006"/>
  </r>
  <r>
    <x v="0"/>
    <x v="39"/>
    <x v="4"/>
    <n v="13714195639.984381"/>
  </r>
  <r>
    <x v="0"/>
    <x v="40"/>
    <x v="4"/>
    <n v="-77111038834.659302"/>
  </r>
  <r>
    <x v="0"/>
    <x v="41"/>
    <x v="4"/>
    <n v="-29270440895.50098"/>
  </r>
  <r>
    <x v="0"/>
    <x v="42"/>
    <x v="4"/>
    <n v="-8709720030.5519104"/>
  </r>
  <r>
    <x v="0"/>
    <x v="43"/>
    <x v="4"/>
    <n v="-33885609090.592991"/>
  </r>
  <r>
    <x v="0"/>
    <x v="44"/>
    <x v="4"/>
    <n v="61677874372.303772"/>
  </r>
  <r>
    <x v="0"/>
    <x v="45"/>
    <x v="4"/>
    <n v="-61452759161.227173"/>
  </r>
  <r>
    <x v="0"/>
    <x v="46"/>
    <x v="4"/>
    <n v="2825109458.171082"/>
  </r>
  <r>
    <x v="0"/>
    <x v="47"/>
    <x v="4"/>
    <n v="8537099829.1783142"/>
  </r>
  <r>
    <x v="0"/>
    <x v="48"/>
    <x v="4"/>
    <n v="1173919796.900085"/>
  </r>
  <r>
    <x v="0"/>
    <x v="49"/>
    <x v="4"/>
    <n v="-19584800877.718781"/>
  </r>
  <r>
    <x v="0"/>
    <x v="50"/>
    <x v="4"/>
    <n v="7966323149.3201904"/>
  </r>
  <r>
    <x v="0"/>
    <x v="51"/>
    <x v="4"/>
    <n v="-10758363868.864611"/>
  </r>
  <r>
    <x v="0"/>
    <x v="52"/>
    <x v="4"/>
    <n v="11221180949.76399"/>
  </r>
  <r>
    <x v="0"/>
    <x v="53"/>
    <x v="4"/>
    <n v="77164798108.784607"/>
  </r>
  <r>
    <x v="0"/>
    <x v="54"/>
    <x v="4"/>
    <n v="-19351701373.8699"/>
  </r>
  <r>
    <x v="0"/>
    <x v="55"/>
    <x v="4"/>
    <n v="-22544566494.074982"/>
  </r>
  <r>
    <x v="0"/>
    <x v="56"/>
    <x v="4"/>
    <n v="41909332739.928886"/>
  </r>
  <r>
    <x v="0"/>
    <x v="57"/>
    <x v="4"/>
    <n v="-26848867228.542301"/>
  </r>
  <r>
    <x v="0"/>
    <x v="58"/>
    <x v="4"/>
    <n v="5893375168.5914917"/>
  </r>
  <r>
    <x v="0"/>
    <x v="59"/>
    <x v="4"/>
    <n v="-31940459307.793301"/>
  </r>
  <r>
    <x v="0"/>
    <x v="60"/>
    <x v="4"/>
    <n v="14264556331.751011"/>
  </r>
  <r>
    <x v="0"/>
    <x v="61"/>
    <x v="4"/>
    <n v="-2159831219.7200012"/>
  </r>
  <r>
    <x v="0"/>
    <x v="62"/>
    <x v="4"/>
    <n v="41625099511.655792"/>
  </r>
  <r>
    <x v="0"/>
    <x v="63"/>
    <x v="4"/>
    <n v="-22534310441.26041"/>
  </r>
  <r>
    <x v="0"/>
    <x v="64"/>
    <x v="4"/>
    <n v="71192507137.766815"/>
  </r>
  <r>
    <x v="0"/>
    <x v="65"/>
    <x v="4"/>
    <n v="-12448708560.328609"/>
  </r>
  <r>
    <x v="0"/>
    <x v="66"/>
    <x v="4"/>
    <n v="14794680056.23984"/>
  </r>
  <r>
    <x v="0"/>
    <x v="67"/>
    <x v="4"/>
    <n v="35995580826.197746"/>
  </r>
  <r>
    <x v="0"/>
    <x v="68"/>
    <x v="4"/>
    <n v="13696647480.104919"/>
  </r>
  <r>
    <x v="0"/>
    <x v="69"/>
    <x v="4"/>
    <n v="-28081602884.155521"/>
  </r>
  <r>
    <x v="0"/>
    <x v="70"/>
    <x v="4"/>
    <n v="4395219513.4700928"/>
  </r>
  <r>
    <x v="0"/>
    <x v="71"/>
    <x v="4"/>
    <n v="-16811523054.37219"/>
  </r>
  <r>
    <x v="0"/>
    <x v="72"/>
    <x v="4"/>
    <n v="2273696667.531189"/>
  </r>
  <r>
    <x v="0"/>
    <x v="73"/>
    <x v="4"/>
    <n v="-6785033724.9953003"/>
  </r>
  <r>
    <x v="0"/>
    <x v="74"/>
    <x v="4"/>
    <n v="2497423338.2840581"/>
  </r>
  <r>
    <x v="0"/>
    <x v="75"/>
    <x v="4"/>
    <n v="19145113443.477169"/>
  </r>
  <r>
    <x v="0"/>
    <x v="76"/>
    <x v="4"/>
    <n v="42996891913.615784"/>
  </r>
  <r>
    <x v="0"/>
    <x v="77"/>
    <x v="4"/>
    <n v="80592817208.040894"/>
  </r>
  <r>
    <x v="0"/>
    <x v="78"/>
    <x v="4"/>
    <n v="64862930926.513786"/>
  </r>
  <r>
    <x v="0"/>
    <x v="79"/>
    <x v="4"/>
    <n v="-15120812884.7157"/>
  </r>
  <r>
    <x v="0"/>
    <x v="80"/>
    <x v="4"/>
    <n v="95404667551.429321"/>
  </r>
  <r>
    <x v="0"/>
    <x v="81"/>
    <x v="4"/>
    <n v="-12144340802.44739"/>
  </r>
  <r>
    <x v="0"/>
    <x v="82"/>
    <x v="4"/>
    <n v="-52737381201.597107"/>
  </r>
  <r>
    <x v="0"/>
    <x v="83"/>
    <x v="4"/>
    <n v="1091701144.0346069"/>
  </r>
  <r>
    <x v="0"/>
    <x v="84"/>
    <x v="4"/>
    <n v="-43621563918.29303"/>
  </r>
  <r>
    <x v="0"/>
    <x v="85"/>
    <x v="4"/>
    <n v="-56675961789.083191"/>
  </r>
  <r>
    <x v="0"/>
    <x v="86"/>
    <x v="4"/>
    <n v="-663519544.07196045"/>
  </r>
  <r>
    <x v="0"/>
    <x v="87"/>
    <x v="4"/>
    <n v="-32937952325.869202"/>
  </r>
  <r>
    <x v="0"/>
    <x v="88"/>
    <x v="4"/>
    <n v="-30017387451.401611"/>
  </r>
  <r>
    <x v="0"/>
    <x v="89"/>
    <x v="4"/>
    <n v="44892898768.175171"/>
  </r>
  <r>
    <x v="0"/>
    <x v="90"/>
    <x v="4"/>
    <n v="141873649542.5488"/>
  </r>
  <r>
    <x v="0"/>
    <x v="91"/>
    <x v="4"/>
    <n v="5314840788.645813"/>
  </r>
  <r>
    <x v="0"/>
    <x v="92"/>
    <x v="4"/>
    <n v="210424417400.24591"/>
  </r>
  <r>
    <x v="0"/>
    <x v="93"/>
    <x v="4"/>
    <n v="54475005284.416138"/>
  </r>
  <r>
    <x v="0"/>
    <x v="94"/>
    <x v="4"/>
    <n v="66573094172.261597"/>
  </r>
  <r>
    <x v="0"/>
    <x v="95"/>
    <x v="4"/>
    <n v="-204587637342.46359"/>
  </r>
  <r>
    <x v="1"/>
    <x v="0"/>
    <x v="4"/>
    <m/>
  </r>
  <r>
    <x v="1"/>
    <x v="1"/>
    <x v="4"/>
    <n v="108588463241.5696"/>
  </r>
  <r>
    <x v="1"/>
    <x v="2"/>
    <x v="4"/>
    <n v="-165656488250.90521"/>
  </r>
  <r>
    <x v="1"/>
    <x v="3"/>
    <x v="4"/>
    <n v="-29417137568.432129"/>
  </r>
  <r>
    <x v="1"/>
    <x v="4"/>
    <x v="4"/>
    <n v="38991686528.16452"/>
  </r>
  <r>
    <x v="1"/>
    <x v="5"/>
    <x v="4"/>
    <n v="26563709759.262791"/>
  </r>
  <r>
    <x v="1"/>
    <x v="6"/>
    <x v="4"/>
    <n v="-56441222587.861076"/>
  </r>
  <r>
    <x v="1"/>
    <x v="7"/>
    <x v="4"/>
    <n v="-40325664674.648407"/>
  </r>
  <r>
    <x v="1"/>
    <x v="8"/>
    <x v="4"/>
    <n v="41992198190.69809"/>
  </r>
  <r>
    <x v="1"/>
    <x v="9"/>
    <x v="4"/>
    <n v="107963689699.71091"/>
  </r>
  <r>
    <x v="1"/>
    <x v="10"/>
    <x v="4"/>
    <n v="-133155420065.21609"/>
  </r>
  <r>
    <x v="1"/>
    <x v="11"/>
    <x v="4"/>
    <n v="67516069134.044403"/>
  </r>
  <r>
    <x v="1"/>
    <x v="12"/>
    <x v="4"/>
    <n v="166238937025.68381"/>
  </r>
  <r>
    <x v="1"/>
    <x v="13"/>
    <x v="4"/>
    <n v="-148944802112.99429"/>
  </r>
  <r>
    <x v="1"/>
    <x v="14"/>
    <x v="4"/>
    <n v="-28142534782.095001"/>
  </r>
  <r>
    <x v="1"/>
    <x v="15"/>
    <x v="4"/>
    <n v="-9571563665.3468018"/>
  </r>
  <r>
    <x v="1"/>
    <x v="16"/>
    <x v="4"/>
    <n v="-29181050770.334381"/>
  </r>
  <r>
    <x v="1"/>
    <x v="17"/>
    <x v="4"/>
    <n v="18256486984.26889"/>
  </r>
  <r>
    <x v="1"/>
    <x v="18"/>
    <x v="4"/>
    <n v="73005825553.703308"/>
  </r>
  <r>
    <x v="1"/>
    <x v="19"/>
    <x v="4"/>
    <n v="-94208675734.313416"/>
  </r>
  <r>
    <x v="1"/>
    <x v="20"/>
    <x v="4"/>
    <n v="95025036905.359497"/>
  </r>
  <r>
    <x v="1"/>
    <x v="21"/>
    <x v="4"/>
    <n v="331085738645.9491"/>
  </r>
  <r>
    <x v="1"/>
    <x v="22"/>
    <x v="4"/>
    <n v="-140442379833.4169"/>
  </r>
  <r>
    <x v="1"/>
    <x v="23"/>
    <x v="4"/>
    <n v="247448255141.91251"/>
  </r>
  <r>
    <x v="1"/>
    <x v="24"/>
    <x v="4"/>
    <n v="856636664167.71008"/>
  </r>
  <r>
    <x v="1"/>
    <x v="25"/>
    <x v="4"/>
    <n v="1763385044904.3501"/>
  </r>
  <r>
    <x v="1"/>
    <x v="26"/>
    <x v="4"/>
    <n v="-629897019487.90918"/>
  </r>
  <r>
    <x v="1"/>
    <x v="27"/>
    <x v="4"/>
    <n v="-916138481600.36182"/>
  </r>
  <r>
    <x v="1"/>
    <x v="28"/>
    <x v="4"/>
    <n v="66713705087.610107"/>
  </r>
  <r>
    <x v="1"/>
    <x v="29"/>
    <x v="4"/>
    <n v="-435561895349.68597"/>
  </r>
  <r>
    <x v="1"/>
    <x v="30"/>
    <x v="4"/>
    <n v="-500308898414.21802"/>
  </r>
  <r>
    <x v="1"/>
    <x v="31"/>
    <x v="4"/>
    <n v="89831159312.2323"/>
  </r>
  <r>
    <x v="1"/>
    <x v="32"/>
    <x v="4"/>
    <n v="790805800151.08972"/>
  </r>
  <r>
    <x v="1"/>
    <x v="33"/>
    <x v="4"/>
    <n v="704130322517.82397"/>
  </r>
  <r>
    <x v="1"/>
    <x v="34"/>
    <x v="4"/>
    <n v="699483284625.41113"/>
  </r>
  <r>
    <x v="1"/>
    <x v="35"/>
    <x v="4"/>
    <n v="-351206999700.8252"/>
  </r>
  <r>
    <x v="1"/>
    <x v="36"/>
    <x v="4"/>
    <n v="-650803879713.90601"/>
  </r>
  <r>
    <x v="1"/>
    <x v="37"/>
    <x v="4"/>
    <n v="-113087992287.6541"/>
  </r>
  <r>
    <x v="1"/>
    <x v="38"/>
    <x v="4"/>
    <n v="250775012823.85989"/>
  </r>
  <r>
    <x v="1"/>
    <x v="39"/>
    <x v="4"/>
    <n v="1229855573401.76"/>
  </r>
  <r>
    <x v="1"/>
    <x v="40"/>
    <x v="4"/>
    <n v="-1133939185771.8379"/>
  </r>
  <r>
    <x v="1"/>
    <x v="41"/>
    <x v="4"/>
    <n v="-437449401582.28809"/>
  </r>
  <r>
    <x v="1"/>
    <x v="42"/>
    <x v="4"/>
    <n v="-192104464540.03711"/>
  </r>
  <r>
    <x v="1"/>
    <x v="43"/>
    <x v="4"/>
    <n v="-496655174603.19598"/>
  </r>
  <r>
    <x v="1"/>
    <x v="44"/>
    <x v="4"/>
    <n v="246555090121.2261"/>
  </r>
  <r>
    <x v="1"/>
    <x v="45"/>
    <x v="4"/>
    <n v="-43852409044.105957"/>
  </r>
  <r>
    <x v="1"/>
    <x v="46"/>
    <x v="4"/>
    <n v="-237747207310.21091"/>
  </r>
  <r>
    <x v="1"/>
    <x v="47"/>
    <x v="4"/>
    <n v="-88254519857.994141"/>
  </r>
  <r>
    <x v="1"/>
    <x v="48"/>
    <x v="4"/>
    <n v="721228629885.76611"/>
  </r>
  <r>
    <x v="1"/>
    <x v="49"/>
    <x v="4"/>
    <n v="-207015593534.58011"/>
  </r>
  <r>
    <x v="1"/>
    <x v="50"/>
    <x v="4"/>
    <n v="562650173047.63306"/>
  </r>
  <r>
    <x v="1"/>
    <x v="51"/>
    <x v="4"/>
    <n v="-189460990993.53809"/>
  </r>
  <r>
    <x v="1"/>
    <x v="52"/>
    <x v="4"/>
    <n v="-46013414182.25708"/>
  </r>
  <r>
    <x v="1"/>
    <x v="53"/>
    <x v="4"/>
    <n v="-432444949293.26489"/>
  </r>
  <r>
    <x v="1"/>
    <x v="54"/>
    <x v="4"/>
    <n v="1560086366513.51"/>
  </r>
  <r>
    <x v="1"/>
    <x v="55"/>
    <x v="4"/>
    <n v="2339792791696.4238"/>
  </r>
  <r>
    <x v="1"/>
    <x v="56"/>
    <x v="4"/>
    <n v="1184821259506.5281"/>
  </r>
  <r>
    <x v="1"/>
    <x v="57"/>
    <x v="4"/>
    <n v="9195737182131.5918"/>
  </r>
  <r>
    <x v="1"/>
    <x v="58"/>
    <x v="4"/>
    <n v="-6173576145869.4629"/>
  </r>
  <r>
    <x v="1"/>
    <x v="59"/>
    <x v="4"/>
    <n v="-738243636603.33984"/>
  </r>
  <r>
    <x v="1"/>
    <x v="60"/>
    <x v="4"/>
    <n v="-3866320688109.3208"/>
  </r>
  <r>
    <x v="1"/>
    <x v="61"/>
    <x v="4"/>
    <n v="7087987069.9355469"/>
  </r>
  <r>
    <x v="1"/>
    <x v="62"/>
    <x v="4"/>
    <n v="22182388149.24902"/>
  </r>
  <r>
    <x v="1"/>
    <x v="63"/>
    <x v="4"/>
    <n v="-172740493281.5488"/>
  </r>
  <r>
    <x v="1"/>
    <x v="64"/>
    <x v="4"/>
    <n v="-794047877585.19629"/>
  </r>
  <r>
    <x v="1"/>
    <x v="65"/>
    <x v="4"/>
    <n v="-87752042884.013184"/>
  </r>
  <r>
    <x v="1"/>
    <x v="66"/>
    <x v="4"/>
    <n v="1105208258396.2791"/>
  </r>
  <r>
    <x v="1"/>
    <x v="67"/>
    <x v="4"/>
    <n v="-940078770653.35693"/>
  </r>
  <r>
    <x v="1"/>
    <x v="68"/>
    <x v="4"/>
    <n v="104967408341.895"/>
  </r>
  <r>
    <x v="1"/>
    <x v="69"/>
    <x v="4"/>
    <n v="-590278827449.58301"/>
  </r>
  <r>
    <x v="1"/>
    <x v="70"/>
    <x v="4"/>
    <n v="-775143120945.25098"/>
  </r>
  <r>
    <x v="1"/>
    <x v="71"/>
    <x v="4"/>
    <n v="-164823666251.73489"/>
  </r>
  <r>
    <x v="1"/>
    <x v="72"/>
    <x v="4"/>
    <n v="2319176741747.6602"/>
  </r>
  <r>
    <x v="1"/>
    <x v="73"/>
    <x v="4"/>
    <n v="197767946258.22949"/>
  </r>
  <r>
    <x v="1"/>
    <x v="74"/>
    <x v="4"/>
    <n v="-809173552267.75195"/>
  </r>
  <r>
    <x v="1"/>
    <x v="75"/>
    <x v="4"/>
    <n v="-501784881402.90039"/>
  </r>
  <r>
    <x v="1"/>
    <x v="76"/>
    <x v="4"/>
    <n v="3133044072463.96"/>
  </r>
  <r>
    <x v="1"/>
    <x v="77"/>
    <x v="4"/>
    <n v="-1458652067402.4209"/>
  </r>
  <r>
    <x v="1"/>
    <x v="78"/>
    <x v="4"/>
    <n v="4393848198260.7642"/>
  </r>
  <r>
    <x v="1"/>
    <x v="79"/>
    <x v="4"/>
    <n v="-3057336655737.207"/>
  </r>
  <r>
    <x v="1"/>
    <x v="80"/>
    <x v="4"/>
    <n v="832618042650.28516"/>
  </r>
  <r>
    <x v="1"/>
    <x v="81"/>
    <x v="4"/>
    <n v="-274649667210.0264"/>
  </r>
  <r>
    <x v="1"/>
    <x v="82"/>
    <x v="4"/>
    <n v="4370212444485.8682"/>
  </r>
  <r>
    <x v="1"/>
    <x v="83"/>
    <x v="4"/>
    <n v="-2394792928399.8398"/>
  </r>
  <r>
    <x v="1"/>
    <x v="84"/>
    <x v="4"/>
    <n v="-1288808376935.408"/>
  </r>
  <r>
    <x v="1"/>
    <x v="85"/>
    <x v="4"/>
    <n v="-399860610546.51862"/>
  </r>
  <r>
    <x v="1"/>
    <x v="86"/>
    <x v="4"/>
    <n v="485324550925.91803"/>
  </r>
  <r>
    <x v="1"/>
    <x v="87"/>
    <x v="4"/>
    <n v="-1289448570377.74"/>
  </r>
  <r>
    <x v="1"/>
    <x v="88"/>
    <x v="4"/>
    <n v="197123595792.78421"/>
  </r>
  <r>
    <x v="1"/>
    <x v="89"/>
    <x v="4"/>
    <n v="1098755512517.963"/>
  </r>
  <r>
    <x v="1"/>
    <x v="90"/>
    <x v="4"/>
    <n v="-1181622400241.123"/>
  </r>
  <r>
    <x v="1"/>
    <x v="91"/>
    <x v="4"/>
    <n v="-215206557677.09769"/>
  </r>
  <r>
    <x v="1"/>
    <x v="92"/>
    <x v="4"/>
    <n v="231560612191.68549"/>
  </r>
  <r>
    <x v="1"/>
    <x v="93"/>
    <x v="4"/>
    <n v="-335836285095.0293"/>
  </r>
  <r>
    <x v="1"/>
    <x v="94"/>
    <x v="4"/>
    <n v="-824427737300.76074"/>
  </r>
  <r>
    <x v="1"/>
    <x v="95"/>
    <x v="4"/>
    <n v="9517581623255.125"/>
  </r>
  <r>
    <x v="0"/>
    <x v="0"/>
    <x v="5"/>
    <m/>
  </r>
  <r>
    <x v="0"/>
    <x v="1"/>
    <x v="5"/>
    <n v="-0.55693804842896744"/>
  </r>
  <r>
    <x v="0"/>
    <x v="2"/>
    <x v="5"/>
    <n v="-3.998631259808888E-2"/>
  </r>
  <r>
    <x v="0"/>
    <x v="3"/>
    <x v="5"/>
    <n v="6.6355580171804762E-2"/>
  </r>
  <r>
    <x v="0"/>
    <x v="4"/>
    <x v="5"/>
    <n v="2.674771287120753E-2"/>
  </r>
  <r>
    <x v="0"/>
    <x v="5"/>
    <x v="5"/>
    <n v="-5.289635633235712E-2"/>
  </r>
  <r>
    <x v="0"/>
    <x v="6"/>
    <x v="5"/>
    <n v="1.875086297021911E-2"/>
  </r>
  <r>
    <x v="0"/>
    <x v="7"/>
    <x v="5"/>
    <n v="1.316160523206422E-2"/>
  </r>
  <r>
    <x v="0"/>
    <x v="8"/>
    <x v="5"/>
    <n v="3.2699538053940942E-2"/>
  </r>
  <r>
    <x v="0"/>
    <x v="9"/>
    <x v="5"/>
    <n v="-0.1117843087206189"/>
  </r>
  <r>
    <x v="0"/>
    <x v="10"/>
    <x v="5"/>
    <n v="0.1006164595038779"/>
  </r>
  <r>
    <x v="0"/>
    <x v="11"/>
    <x v="5"/>
    <n v="-1.4766346810546499E-2"/>
  </r>
  <r>
    <x v="0"/>
    <x v="12"/>
    <x v="5"/>
    <n v="6.0551998657349122E-2"/>
  </r>
  <r>
    <x v="0"/>
    <x v="13"/>
    <x v="5"/>
    <n v="-4.0690984335439939E-2"/>
  </r>
  <r>
    <x v="0"/>
    <x v="14"/>
    <x v="5"/>
    <n v="-0.1090117524443034"/>
  </r>
  <r>
    <x v="0"/>
    <x v="15"/>
    <x v="5"/>
    <n v="-8.1152154408966198E-2"/>
  </r>
  <r>
    <x v="0"/>
    <x v="16"/>
    <x v="5"/>
    <n v="4.0711184696330088E-2"/>
  </r>
  <r>
    <x v="0"/>
    <x v="17"/>
    <x v="5"/>
    <n v="-3.0842710159380119E-2"/>
  </r>
  <r>
    <x v="0"/>
    <x v="18"/>
    <x v="5"/>
    <n v="3.7439711408844438E-2"/>
  </r>
  <r>
    <x v="0"/>
    <x v="19"/>
    <x v="5"/>
    <n v="-5.2103607217298092E-2"/>
  </r>
  <r>
    <x v="0"/>
    <x v="20"/>
    <x v="5"/>
    <n v="2.350135887928503E-2"/>
  </r>
  <r>
    <x v="0"/>
    <x v="21"/>
    <x v="5"/>
    <n v="3.610345322560804E-2"/>
  </r>
  <r>
    <x v="0"/>
    <x v="22"/>
    <x v="5"/>
    <n v="-9.3572531552328558E-2"/>
  </r>
  <r>
    <x v="0"/>
    <x v="23"/>
    <x v="5"/>
    <n v="1.361667947017076E-2"/>
  </r>
  <r>
    <x v="0"/>
    <x v="24"/>
    <x v="5"/>
    <n v="2.253167869109499E-2"/>
  </r>
  <r>
    <x v="0"/>
    <x v="25"/>
    <x v="5"/>
    <n v="-1.9185375038455101E-2"/>
  </r>
  <r>
    <x v="0"/>
    <x v="26"/>
    <x v="5"/>
    <n v="3.236377799989643E-3"/>
  </r>
  <r>
    <x v="0"/>
    <x v="27"/>
    <x v="5"/>
    <n v="5.5424777514991717E-2"/>
  </r>
  <r>
    <x v="0"/>
    <x v="28"/>
    <x v="5"/>
    <n v="1.796088325631606E-3"/>
  </r>
  <r>
    <x v="0"/>
    <x v="29"/>
    <x v="5"/>
    <n v="1.131038378952853E-2"/>
  </r>
  <r>
    <x v="0"/>
    <x v="30"/>
    <x v="5"/>
    <n v="-1.3863195289261609E-2"/>
  </r>
  <r>
    <x v="0"/>
    <x v="31"/>
    <x v="5"/>
    <n v="-7.5950002221393254E-3"/>
  </r>
  <r>
    <x v="0"/>
    <x v="32"/>
    <x v="5"/>
    <n v="-7.3605097784318896E-3"/>
  </r>
  <r>
    <x v="0"/>
    <x v="33"/>
    <x v="5"/>
    <n v="6.2639832927710748E-2"/>
  </r>
  <r>
    <x v="0"/>
    <x v="34"/>
    <x v="5"/>
    <n v="-2.9629527479744341E-2"/>
  </r>
  <r>
    <x v="0"/>
    <x v="35"/>
    <x v="5"/>
    <n v="-6.0325986628583773E-2"/>
  </r>
  <r>
    <x v="0"/>
    <x v="36"/>
    <x v="5"/>
    <n v="-3.3042865847127151E-2"/>
  </r>
  <r>
    <x v="0"/>
    <x v="37"/>
    <x v="5"/>
    <n v="-1.96112210596017E-2"/>
  </r>
  <r>
    <x v="0"/>
    <x v="38"/>
    <x v="5"/>
    <n v="2.3252362983088859E-3"/>
  </r>
  <r>
    <x v="0"/>
    <x v="39"/>
    <x v="5"/>
    <n v="8.320721038656248E-3"/>
  </r>
  <r>
    <x v="0"/>
    <x v="40"/>
    <x v="5"/>
    <n v="-3.9796413591835417E-2"/>
  </r>
  <r>
    <x v="0"/>
    <x v="41"/>
    <x v="5"/>
    <n v="-1.6592582253716018E-2"/>
  </r>
  <r>
    <x v="0"/>
    <x v="42"/>
    <x v="5"/>
    <n v="1.8861372951813889E-2"/>
  </r>
  <r>
    <x v="0"/>
    <x v="43"/>
    <x v="5"/>
    <n v="-1.4993687085924769E-2"/>
  </r>
  <r>
    <x v="0"/>
    <x v="44"/>
    <x v="5"/>
    <n v="3.3979457559571713E-2"/>
  </r>
  <r>
    <x v="0"/>
    <x v="45"/>
    <x v="5"/>
    <n v="-4.3772783721451852E-2"/>
  </r>
  <r>
    <x v="0"/>
    <x v="46"/>
    <x v="5"/>
    <n v="-1.344073062648374E-3"/>
  </r>
  <r>
    <x v="0"/>
    <x v="47"/>
    <x v="5"/>
    <n v="3.1240802080853142E-3"/>
  </r>
  <r>
    <x v="0"/>
    <x v="48"/>
    <x v="5"/>
    <n v="1.1176043015179689E-2"/>
  </r>
  <r>
    <x v="0"/>
    <x v="49"/>
    <x v="5"/>
    <n v="-1.404726531688244E-2"/>
  </r>
  <r>
    <x v="0"/>
    <x v="50"/>
    <x v="5"/>
    <n v="1.206990348950363E-2"/>
  </r>
  <r>
    <x v="0"/>
    <x v="51"/>
    <x v="5"/>
    <n v="-1.6659683867930111E-2"/>
  </r>
  <r>
    <x v="0"/>
    <x v="52"/>
    <x v="5"/>
    <n v="1.2784990432637281E-3"/>
  </r>
  <r>
    <x v="0"/>
    <x v="53"/>
    <x v="5"/>
    <n v="3.0724784539128521E-2"/>
  </r>
  <r>
    <x v="0"/>
    <x v="54"/>
    <x v="5"/>
    <n v="-1.345481846686347E-2"/>
  </r>
  <r>
    <x v="0"/>
    <x v="55"/>
    <x v="5"/>
    <n v="-1.7492237537883652E-2"/>
  </r>
  <r>
    <x v="0"/>
    <x v="56"/>
    <x v="5"/>
    <n v="1.95969675400578E-2"/>
  </r>
  <r>
    <x v="0"/>
    <x v="57"/>
    <x v="5"/>
    <n v="-1.416084670452354E-2"/>
  </r>
  <r>
    <x v="0"/>
    <x v="58"/>
    <x v="5"/>
    <n v="1.560523917620839E-2"/>
  </r>
  <r>
    <x v="0"/>
    <x v="59"/>
    <x v="5"/>
    <n v="-2.3747701078757288E-2"/>
  </r>
  <r>
    <x v="0"/>
    <x v="60"/>
    <x v="5"/>
    <n v="1.3656476380122099E-2"/>
  </r>
  <r>
    <x v="0"/>
    <x v="61"/>
    <x v="5"/>
    <n v="-8.7861074688920238E-3"/>
  </r>
  <r>
    <x v="0"/>
    <x v="62"/>
    <x v="5"/>
    <n v="2.1387645426094639E-2"/>
  </r>
  <r>
    <x v="0"/>
    <x v="63"/>
    <x v="5"/>
    <n v="-9.7413561297479967E-3"/>
  </r>
  <r>
    <x v="0"/>
    <x v="64"/>
    <x v="5"/>
    <n v="1.9820942186568661E-2"/>
  </r>
  <r>
    <x v="0"/>
    <x v="65"/>
    <x v="5"/>
    <n v="-8.0433142964628224E-3"/>
  </r>
  <r>
    <x v="0"/>
    <x v="66"/>
    <x v="5"/>
    <n v="4.4232632787163939E-3"/>
  </r>
  <r>
    <x v="0"/>
    <x v="67"/>
    <x v="5"/>
    <n v="-9.9753350391584839E-5"/>
  </r>
  <r>
    <x v="0"/>
    <x v="68"/>
    <x v="5"/>
    <n v="1.5626284091006439E-2"/>
  </r>
  <r>
    <x v="0"/>
    <x v="69"/>
    <x v="5"/>
    <n v="-1.766587469800637E-2"/>
  </r>
  <r>
    <x v="0"/>
    <x v="70"/>
    <x v="5"/>
    <n v="1.024023257966508E-2"/>
  </r>
  <r>
    <x v="0"/>
    <x v="71"/>
    <x v="5"/>
    <n v="-1.0155549944353141E-2"/>
  </r>
  <r>
    <x v="0"/>
    <x v="72"/>
    <x v="5"/>
    <n v="-6.0356056761431964E-4"/>
  </r>
  <r>
    <x v="0"/>
    <x v="73"/>
    <x v="5"/>
    <n v="-3.0128182770719492E-3"/>
  </r>
  <r>
    <x v="0"/>
    <x v="74"/>
    <x v="5"/>
    <n v="8.9578503515980457E-3"/>
  </r>
  <r>
    <x v="0"/>
    <x v="75"/>
    <x v="5"/>
    <n v="5.0263763653099758E-3"/>
  </r>
  <r>
    <x v="0"/>
    <x v="76"/>
    <x v="5"/>
    <n v="8.8779262408979709E-2"/>
  </r>
  <r>
    <x v="0"/>
    <x v="77"/>
    <x v="5"/>
    <n v="3.0866583692975009E-3"/>
  </r>
  <r>
    <x v="0"/>
    <x v="78"/>
    <x v="5"/>
    <n v="1.4107840563260921E-2"/>
  </r>
  <r>
    <x v="0"/>
    <x v="79"/>
    <x v="5"/>
    <n v="-4.8847982068191687E-2"/>
  </r>
  <r>
    <x v="0"/>
    <x v="80"/>
    <x v="5"/>
    <n v="2.1451288991093082E-2"/>
  </r>
  <r>
    <x v="0"/>
    <x v="81"/>
    <x v="5"/>
    <n v="-2.730927857900381E-2"/>
  </r>
  <r>
    <x v="0"/>
    <x v="82"/>
    <x v="5"/>
    <n v="-3.8328624075019607E-2"/>
  </r>
  <r>
    <x v="0"/>
    <x v="83"/>
    <x v="5"/>
    <n v="-4.5073199405690212E-4"/>
  </r>
  <r>
    <x v="0"/>
    <x v="84"/>
    <x v="5"/>
    <n v="-1.335031925214447E-2"/>
  </r>
  <r>
    <x v="0"/>
    <x v="85"/>
    <x v="5"/>
    <n v="-3.7426932314697792E-3"/>
  </r>
  <r>
    <x v="0"/>
    <x v="86"/>
    <x v="5"/>
    <n v="-1.4009038133651289E-2"/>
  </r>
  <r>
    <x v="0"/>
    <x v="87"/>
    <x v="5"/>
    <n v="-1.4066540176875159E-2"/>
  </r>
  <r>
    <x v="0"/>
    <x v="88"/>
    <x v="5"/>
    <n v="1.2063875824092211E-3"/>
  </r>
  <r>
    <x v="0"/>
    <x v="89"/>
    <x v="5"/>
    <n v="6.4854576069917069E-5"/>
  </r>
  <r>
    <x v="0"/>
    <x v="90"/>
    <x v="5"/>
    <n v="3.7938371345828108E-2"/>
  </r>
  <r>
    <x v="0"/>
    <x v="91"/>
    <x v="5"/>
    <n v="-1.8866737496834481E-2"/>
  </r>
  <r>
    <x v="0"/>
    <x v="92"/>
    <x v="5"/>
    <n v="4.5186676567289058E-2"/>
  </r>
  <r>
    <x v="0"/>
    <x v="93"/>
    <x v="5"/>
    <n v="-7.331134211029211E-3"/>
  </r>
  <r>
    <x v="0"/>
    <x v="94"/>
    <x v="5"/>
    <n v="2.481159353826506E-3"/>
  </r>
  <r>
    <x v="0"/>
    <x v="95"/>
    <x v="5"/>
    <n v="-3.1751916382433298E-2"/>
  </r>
  <r>
    <x v="1"/>
    <x v="0"/>
    <x v="5"/>
    <m/>
  </r>
  <r>
    <x v="1"/>
    <x v="1"/>
    <x v="5"/>
    <n v="7.7883164252268905E-2"/>
  </r>
  <r>
    <x v="1"/>
    <x v="2"/>
    <x v="5"/>
    <n v="-0.114961625665187"/>
  </r>
  <r>
    <x v="1"/>
    <x v="3"/>
    <x v="5"/>
    <n v="-1.9789791528087769E-2"/>
  </r>
  <r>
    <x v="1"/>
    <x v="4"/>
    <x v="5"/>
    <n v="4.2596057198324898E-2"/>
  </r>
  <r>
    <x v="1"/>
    <x v="5"/>
    <x v="5"/>
    <n v="4.2300304444646284E-3"/>
  </r>
  <r>
    <x v="1"/>
    <x v="6"/>
    <x v="5"/>
    <n v="-4.23572455274496E-2"/>
  </r>
  <r>
    <x v="1"/>
    <x v="7"/>
    <x v="5"/>
    <n v="-2.206664206871924E-2"/>
  </r>
  <r>
    <x v="1"/>
    <x v="8"/>
    <x v="5"/>
    <n v="3.2994714659144622E-2"/>
  </r>
  <r>
    <x v="1"/>
    <x v="9"/>
    <x v="5"/>
    <n v="0.1165783520514988"/>
  </r>
  <r>
    <x v="1"/>
    <x v="10"/>
    <x v="5"/>
    <n v="-0.13335064374447261"/>
  </r>
  <r>
    <x v="1"/>
    <x v="11"/>
    <x v="5"/>
    <n v="6.412778725264251E-2"/>
  </r>
  <r>
    <x v="1"/>
    <x v="12"/>
    <x v="5"/>
    <n v="0.1220833101366148"/>
  </r>
  <r>
    <x v="1"/>
    <x v="13"/>
    <x v="5"/>
    <n v="-8.749798193660005E-2"/>
  </r>
  <r>
    <x v="1"/>
    <x v="14"/>
    <x v="5"/>
    <n v="-3.4382236645639441E-2"/>
  </r>
  <r>
    <x v="1"/>
    <x v="15"/>
    <x v="5"/>
    <n v="1.1093779596946679E-2"/>
  </r>
  <r>
    <x v="1"/>
    <x v="16"/>
    <x v="5"/>
    <n v="-2.2226445260090929E-2"/>
  </r>
  <r>
    <x v="1"/>
    <x v="17"/>
    <x v="5"/>
    <n v="4.5102871719958942E-2"/>
  </r>
  <r>
    <x v="1"/>
    <x v="18"/>
    <x v="5"/>
    <n v="8.8864068455758949E-2"/>
  </r>
  <r>
    <x v="1"/>
    <x v="19"/>
    <x v="5"/>
    <n v="-0.1243291628406062"/>
  </r>
  <r>
    <x v="1"/>
    <x v="20"/>
    <x v="5"/>
    <n v="0.11453015837010069"/>
  </r>
  <r>
    <x v="1"/>
    <x v="21"/>
    <x v="5"/>
    <n v="0.29136367532392887"/>
  </r>
  <r>
    <x v="1"/>
    <x v="22"/>
    <x v="5"/>
    <n v="-0.2228487066634946"/>
  </r>
  <r>
    <x v="1"/>
    <x v="23"/>
    <x v="5"/>
    <n v="-2.4508580914297921E-2"/>
  </r>
  <r>
    <x v="1"/>
    <x v="24"/>
    <x v="5"/>
    <n v="0.22528346916633751"/>
  </r>
  <r>
    <x v="1"/>
    <x v="25"/>
    <x v="5"/>
    <n v="0.38938716012137992"/>
  </r>
  <r>
    <x v="1"/>
    <x v="26"/>
    <x v="5"/>
    <n v="-0.44615517636076768"/>
  </r>
  <r>
    <x v="1"/>
    <x v="27"/>
    <x v="5"/>
    <n v="-0.25602999135139132"/>
  </r>
  <r>
    <x v="1"/>
    <x v="28"/>
    <x v="5"/>
    <n v="0.150830557836683"/>
  </r>
  <r>
    <x v="1"/>
    <x v="29"/>
    <x v="5"/>
    <n v="-1.302894097598334E-2"/>
  </r>
  <r>
    <x v="1"/>
    <x v="30"/>
    <x v="5"/>
    <n v="-9.7237020261473295E-2"/>
  </r>
  <r>
    <x v="1"/>
    <x v="31"/>
    <x v="5"/>
    <n v="0.1045824392348662"/>
  </r>
  <r>
    <x v="1"/>
    <x v="32"/>
    <x v="5"/>
    <n v="0.1554597449286296"/>
  </r>
  <r>
    <x v="1"/>
    <x v="33"/>
    <x v="5"/>
    <n v="6.5442989454895684E-2"/>
  </r>
  <r>
    <x v="1"/>
    <x v="34"/>
    <x v="5"/>
    <n v="0.20084068770398819"/>
  </r>
  <r>
    <x v="1"/>
    <x v="35"/>
    <x v="5"/>
    <n v="-0.23207547247234089"/>
  </r>
  <r>
    <x v="1"/>
    <x v="36"/>
    <x v="5"/>
    <n v="-0.13372722244561541"/>
  </r>
  <r>
    <x v="1"/>
    <x v="37"/>
    <x v="5"/>
    <n v="8.9137126359450536E-2"/>
  </r>
  <r>
    <x v="1"/>
    <x v="38"/>
    <x v="5"/>
    <n v="-4.3556402607652922E-2"/>
  </r>
  <r>
    <x v="1"/>
    <x v="39"/>
    <x v="5"/>
    <n v="0.2140120847243091"/>
  </r>
  <r>
    <x v="1"/>
    <x v="40"/>
    <x v="5"/>
    <n v="-0.2459831933551225"/>
  </r>
  <r>
    <x v="1"/>
    <x v="41"/>
    <x v="5"/>
    <n v="-6.6559845557564556E-2"/>
  </r>
  <r>
    <x v="1"/>
    <x v="42"/>
    <x v="5"/>
    <n v="1.656278141634265E-2"/>
  </r>
  <r>
    <x v="1"/>
    <x v="43"/>
    <x v="5"/>
    <n v="-9.7060960462035384E-2"/>
  </r>
  <r>
    <x v="1"/>
    <x v="44"/>
    <x v="5"/>
    <n v="5.4646595726608238E-2"/>
  </r>
  <r>
    <x v="1"/>
    <x v="45"/>
    <x v="5"/>
    <n v="-1.542447787736018E-2"/>
  </r>
  <r>
    <x v="1"/>
    <x v="46"/>
    <x v="5"/>
    <n v="-4.2672976234170878E-2"/>
  </r>
  <r>
    <x v="1"/>
    <x v="47"/>
    <x v="5"/>
    <n v="-4.4527140763122031E-2"/>
  </r>
  <r>
    <x v="1"/>
    <x v="48"/>
    <x v="5"/>
    <n v="0.18726598401024749"/>
  </r>
  <r>
    <x v="1"/>
    <x v="49"/>
    <x v="5"/>
    <n v="-1.3500147327457249E-2"/>
  </r>
  <r>
    <x v="1"/>
    <x v="50"/>
    <x v="5"/>
    <n v="8.7397089013375617E-2"/>
  </r>
  <r>
    <x v="1"/>
    <x v="51"/>
    <x v="5"/>
    <n v="-3.8357947231537182E-2"/>
  </r>
  <r>
    <x v="1"/>
    <x v="52"/>
    <x v="5"/>
    <n v="3.5837016910944541E-4"/>
  </r>
  <r>
    <x v="1"/>
    <x v="53"/>
    <x v="5"/>
    <n v="-0.12694564779432119"/>
  </r>
  <r>
    <x v="1"/>
    <x v="54"/>
    <x v="5"/>
    <n v="0.26142359189732539"/>
  </r>
  <r>
    <x v="1"/>
    <x v="55"/>
    <x v="5"/>
    <n v="0.25040503909328948"/>
  </r>
  <r>
    <x v="1"/>
    <x v="56"/>
    <x v="5"/>
    <n v="-3.5172636240448529E-2"/>
  </r>
  <r>
    <x v="1"/>
    <x v="57"/>
    <x v="5"/>
    <n v="0.8138861163998824"/>
  </r>
  <r>
    <x v="1"/>
    <x v="58"/>
    <x v="5"/>
    <n v="-0.24175238038360661"/>
  </r>
  <r>
    <x v="1"/>
    <x v="59"/>
    <x v="5"/>
    <n v="-0.3892830940513885"/>
  </r>
  <r>
    <x v="1"/>
    <x v="60"/>
    <x v="5"/>
    <n v="-0.34150997932335481"/>
  </r>
  <r>
    <x v="1"/>
    <x v="61"/>
    <x v="5"/>
    <n v="-1.4684967529001719E-2"/>
  </r>
  <r>
    <x v="1"/>
    <x v="62"/>
    <x v="5"/>
    <n v="-2.7113585428427341E-2"/>
  </r>
  <r>
    <x v="1"/>
    <x v="63"/>
    <x v="5"/>
    <n v="-4.8101430936564833E-2"/>
  </r>
  <r>
    <x v="1"/>
    <x v="64"/>
    <x v="5"/>
    <n v="-0.12546792226569661"/>
  </r>
  <r>
    <x v="1"/>
    <x v="65"/>
    <x v="5"/>
    <n v="-6.9896524747276589E-3"/>
  </r>
  <r>
    <x v="1"/>
    <x v="66"/>
    <x v="5"/>
    <n v="9.6873294892062645E-2"/>
  </r>
  <r>
    <x v="1"/>
    <x v="67"/>
    <x v="5"/>
    <n v="-0.10109597141740941"/>
  </r>
  <r>
    <x v="1"/>
    <x v="68"/>
    <x v="5"/>
    <n v="2.522808775753255E-2"/>
  </r>
  <r>
    <x v="1"/>
    <x v="69"/>
    <x v="5"/>
    <n v="-2.478456662277961E-2"/>
  </r>
  <r>
    <x v="1"/>
    <x v="70"/>
    <x v="5"/>
    <n v="-8.3239839622271883E-2"/>
  </r>
  <r>
    <x v="1"/>
    <x v="71"/>
    <x v="5"/>
    <n v="2.491957523437122E-2"/>
  </r>
  <r>
    <x v="1"/>
    <x v="72"/>
    <x v="5"/>
    <n v="0.18324168488129469"/>
  </r>
  <r>
    <x v="1"/>
    <x v="73"/>
    <x v="5"/>
    <n v="5.5744071802252049E-2"/>
  </r>
  <r>
    <x v="1"/>
    <x v="74"/>
    <x v="5"/>
    <n v="-0.1051088453784164"/>
  </r>
  <r>
    <x v="1"/>
    <x v="75"/>
    <x v="5"/>
    <n v="-9.2716786702656651E-2"/>
  </r>
  <r>
    <x v="1"/>
    <x v="76"/>
    <x v="5"/>
    <n v="0.42453914306976281"/>
  </r>
  <r>
    <x v="1"/>
    <x v="77"/>
    <x v="5"/>
    <n v="-0.2879112648214539"/>
  </r>
  <r>
    <x v="1"/>
    <x v="78"/>
    <x v="5"/>
    <n v="0.36229917263469991"/>
  </r>
  <r>
    <x v="1"/>
    <x v="79"/>
    <x v="5"/>
    <n v="-0.35579828943385888"/>
  </r>
  <r>
    <x v="1"/>
    <x v="80"/>
    <x v="5"/>
    <n v="9.4048586833924364E-2"/>
  </r>
  <r>
    <x v="1"/>
    <x v="81"/>
    <x v="5"/>
    <n v="-9.1116537235413131E-2"/>
  </r>
  <r>
    <x v="1"/>
    <x v="82"/>
    <x v="5"/>
    <n v="0.35037585264008608"/>
  </r>
  <r>
    <x v="1"/>
    <x v="83"/>
    <x v="5"/>
    <n v="-0.22768542758348151"/>
  </r>
  <r>
    <x v="1"/>
    <x v="84"/>
    <x v="5"/>
    <n v="-5.9472251477808991E-3"/>
  </r>
  <r>
    <x v="1"/>
    <x v="85"/>
    <x v="5"/>
    <n v="-6.7479931707560503E-2"/>
  </r>
  <r>
    <x v="1"/>
    <x v="86"/>
    <x v="5"/>
    <n v="0.12585686486834791"/>
  </r>
  <r>
    <x v="1"/>
    <x v="87"/>
    <x v="5"/>
    <n v="-0.14479925066770799"/>
  </r>
  <r>
    <x v="1"/>
    <x v="88"/>
    <x v="5"/>
    <n v="-2.7840311321518318E-2"/>
  </r>
  <r>
    <x v="1"/>
    <x v="89"/>
    <x v="5"/>
    <n v="0.1020363319325444"/>
  </r>
  <r>
    <x v="1"/>
    <x v="90"/>
    <x v="5"/>
    <n v="-7.5867711190115039E-2"/>
  </r>
  <r>
    <x v="1"/>
    <x v="91"/>
    <x v="5"/>
    <n v="2.5406213764764818E-3"/>
  </r>
  <r>
    <x v="1"/>
    <x v="92"/>
    <x v="5"/>
    <n v="2.8487878822706428E-2"/>
  </r>
  <r>
    <x v="1"/>
    <x v="93"/>
    <x v="5"/>
    <n v="-3.0603598137949328E-3"/>
  </r>
  <r>
    <x v="1"/>
    <x v="94"/>
    <x v="5"/>
    <n v="-0.1539557117970031"/>
  </r>
  <r>
    <x v="1"/>
    <x v="95"/>
    <x v="5"/>
    <n v="0.788950724711792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D100" firstHeaderRow="1" firstDataRow="2" firstDataCol="2" rowPageCount="1" colPageCount="1"/>
  <pivotFields count="6">
    <pivotField axis="axisPage" compact="0" outline="0" showAll="0" defaultSubtotal="0">
      <items count="2">
        <item x="0"/>
        <item x="1"/>
      </items>
    </pivotField>
    <pivotField axis="axisRow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 defaultSubtotal="0">
      <items count="6">
        <item x="0"/>
        <item x="1"/>
        <item h="1" x="3"/>
        <item h="1" x="5"/>
        <item h="1" x="4"/>
        <item h="1" x="2"/>
      </items>
    </pivotField>
    <pivotField dataField="1" compact="0" outline="0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2">
    <field x="5"/>
    <field x="1"/>
  </rowFields>
  <rowItems count="96">
    <i>
      <x v="1"/>
      <x v="3"/>
    </i>
    <i r="1">
      <x v="6"/>
    </i>
    <i r="1">
      <x v="9"/>
    </i>
    <i r="1">
      <x v="12"/>
    </i>
    <i>
      <x v="2"/>
      <x v="3"/>
    </i>
    <i r="1">
      <x v="6"/>
    </i>
    <i r="1">
      <x v="9"/>
    </i>
    <i r="1">
      <x v="12"/>
    </i>
    <i>
      <x v="3"/>
      <x v="3"/>
    </i>
    <i r="1">
      <x v="6"/>
    </i>
    <i r="1">
      <x v="9"/>
    </i>
    <i r="1">
      <x v="12"/>
    </i>
    <i>
      <x v="4"/>
      <x v="3"/>
    </i>
    <i r="1">
      <x v="6"/>
    </i>
    <i r="1">
      <x v="9"/>
    </i>
    <i r="1">
      <x v="12"/>
    </i>
    <i>
      <x v="5"/>
      <x v="3"/>
    </i>
    <i r="1">
      <x v="6"/>
    </i>
    <i r="1">
      <x v="9"/>
    </i>
    <i r="1">
      <x v="12"/>
    </i>
    <i>
      <x v="6"/>
      <x v="3"/>
    </i>
    <i r="1">
      <x v="6"/>
    </i>
    <i r="1">
      <x v="9"/>
    </i>
    <i r="1">
      <x v="12"/>
    </i>
    <i>
      <x v="7"/>
      <x v="3"/>
    </i>
    <i r="1">
      <x v="6"/>
    </i>
    <i r="1">
      <x v="9"/>
    </i>
    <i r="1">
      <x v="12"/>
    </i>
    <i>
      <x v="8"/>
      <x v="3"/>
    </i>
    <i r="1">
      <x v="6"/>
    </i>
    <i r="1">
      <x v="9"/>
    </i>
    <i r="1">
      <x v="12"/>
    </i>
    <i>
      <x v="9"/>
      <x v="3"/>
    </i>
    <i r="1">
      <x v="6"/>
    </i>
    <i r="1">
      <x v="9"/>
    </i>
    <i r="1">
      <x v="12"/>
    </i>
    <i>
      <x v="10"/>
      <x v="3"/>
    </i>
    <i r="1">
      <x v="6"/>
    </i>
    <i r="1">
      <x v="9"/>
    </i>
    <i r="1">
      <x v="12"/>
    </i>
    <i>
      <x v="11"/>
      <x v="3"/>
    </i>
    <i r="1">
      <x v="6"/>
    </i>
    <i r="1">
      <x v="9"/>
    </i>
    <i r="1">
      <x v="12"/>
    </i>
    <i>
      <x v="12"/>
      <x v="3"/>
    </i>
    <i r="1">
      <x v="6"/>
    </i>
    <i r="1">
      <x v="9"/>
    </i>
    <i r="1">
      <x v="12"/>
    </i>
    <i>
      <x v="13"/>
      <x v="3"/>
    </i>
    <i r="1">
      <x v="6"/>
    </i>
    <i r="1">
      <x v="9"/>
    </i>
    <i r="1">
      <x v="12"/>
    </i>
    <i>
      <x v="14"/>
      <x v="3"/>
    </i>
    <i r="1">
      <x v="6"/>
    </i>
    <i r="1">
      <x v="9"/>
    </i>
    <i r="1">
      <x v="12"/>
    </i>
    <i>
      <x v="15"/>
      <x v="3"/>
    </i>
    <i r="1">
      <x v="6"/>
    </i>
    <i r="1">
      <x v="9"/>
    </i>
    <i r="1">
      <x v="12"/>
    </i>
    <i>
      <x v="16"/>
      <x v="3"/>
    </i>
    <i r="1">
      <x v="6"/>
    </i>
    <i r="1">
      <x v="9"/>
    </i>
    <i r="1">
      <x v="12"/>
    </i>
    <i>
      <x v="17"/>
      <x v="3"/>
    </i>
    <i r="1">
      <x v="6"/>
    </i>
    <i r="1">
      <x v="9"/>
    </i>
    <i r="1">
      <x v="12"/>
    </i>
    <i>
      <x v="18"/>
      <x v="3"/>
    </i>
    <i r="1">
      <x v="6"/>
    </i>
    <i r="1">
      <x v="9"/>
    </i>
    <i r="1">
      <x v="12"/>
    </i>
    <i>
      <x v="19"/>
      <x v="3"/>
    </i>
    <i r="1">
      <x v="6"/>
    </i>
    <i r="1">
      <x v="9"/>
    </i>
    <i r="1">
      <x v="12"/>
    </i>
    <i>
      <x v="20"/>
      <x v="3"/>
    </i>
    <i r="1">
      <x v="6"/>
    </i>
    <i r="1">
      <x v="9"/>
    </i>
    <i r="1">
      <x v="12"/>
    </i>
    <i>
      <x v="21"/>
      <x v="3"/>
    </i>
    <i r="1">
      <x v="6"/>
    </i>
    <i r="1">
      <x v="9"/>
    </i>
    <i r="1">
      <x v="12"/>
    </i>
    <i>
      <x v="22"/>
      <x v="3"/>
    </i>
    <i r="1">
      <x v="6"/>
    </i>
    <i r="1">
      <x v="9"/>
    </i>
    <i r="1">
      <x v="12"/>
    </i>
    <i>
      <x v="23"/>
      <x v="3"/>
    </i>
    <i r="1">
      <x v="6"/>
    </i>
    <i r="1">
      <x v="9"/>
    </i>
    <i r="1">
      <x v="12"/>
    </i>
    <i>
      <x v="24"/>
      <x v="3"/>
    </i>
    <i r="1">
      <x v="6"/>
    </i>
    <i r="1">
      <x v="9"/>
    </i>
    <i r="1">
      <x v="12"/>
    </i>
  </rowItems>
  <colFields count="1">
    <field x="2"/>
  </colFields>
  <colItems count="2">
    <i>
      <x/>
    </i>
    <i>
      <x v="1"/>
    </i>
  </colItems>
  <pageFields count="1">
    <pageField fld="0" item="1" hier="-1"/>
  </pageFields>
  <dataFields count="1">
    <dataField name="Сумма по полю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"/>
  <sheetViews>
    <sheetView tabSelected="1" workbookViewId="0">
      <selection activeCell="M10" sqref="M10"/>
    </sheetView>
  </sheetViews>
  <sheetFormatPr defaultRowHeight="15" x14ac:dyDescent="0.25"/>
  <cols>
    <col min="15" max="15" width="17.7109375" bestFit="1" customWidth="1"/>
  </cols>
  <sheetData>
    <row r="1" spans="1:27" x14ac:dyDescent="0.25">
      <c r="A1" t="s">
        <v>4</v>
      </c>
      <c r="G1" t="s">
        <v>5</v>
      </c>
    </row>
    <row r="2" spans="1:27" x14ac:dyDescent="0.25">
      <c r="A2" t="s">
        <v>6</v>
      </c>
      <c r="B2" t="s">
        <v>7</v>
      </c>
      <c r="C2" t="s">
        <v>9</v>
      </c>
      <c r="D2" t="s">
        <v>11</v>
      </c>
      <c r="E2" t="s">
        <v>10</v>
      </c>
      <c r="F2" t="s">
        <v>8</v>
      </c>
      <c r="G2" t="s">
        <v>6</v>
      </c>
      <c r="H2" t="s">
        <v>7</v>
      </c>
      <c r="I2" t="s">
        <v>9</v>
      </c>
      <c r="J2" t="s">
        <v>11</v>
      </c>
      <c r="K2" t="s">
        <v>10</v>
      </c>
      <c r="L2" t="s">
        <v>8</v>
      </c>
    </row>
    <row r="5" spans="1:27" ht="15.75" thickBot="1" x14ac:dyDescent="0.3">
      <c r="O5" t="s">
        <v>4</v>
      </c>
    </row>
    <row r="6" spans="1:27" x14ac:dyDescent="0.25">
      <c r="O6" s="7"/>
      <c r="P6" s="7" t="s">
        <v>6</v>
      </c>
      <c r="Q6" s="7" t="s">
        <v>7</v>
      </c>
      <c r="R6" s="7" t="s">
        <v>9</v>
      </c>
      <c r="S6" s="7" t="s">
        <v>11</v>
      </c>
      <c r="T6" s="7" t="s">
        <v>10</v>
      </c>
      <c r="U6" s="7" t="s">
        <v>8</v>
      </c>
      <c r="W6" t="s">
        <v>7</v>
      </c>
      <c r="X6" t="s">
        <v>9</v>
      </c>
      <c r="Y6" t="s">
        <v>11</v>
      </c>
      <c r="Z6" t="s">
        <v>10</v>
      </c>
      <c r="AA6" t="s">
        <v>8</v>
      </c>
    </row>
    <row r="7" spans="1:27" x14ac:dyDescent="0.25">
      <c r="A7">
        <v>2168472999.8249512</v>
      </c>
      <c r="B7">
        <v>1.1123278467664031E-3</v>
      </c>
      <c r="C7">
        <v>7378355995.5585022</v>
      </c>
      <c r="D7">
        <v>-5.289635633235712E-2</v>
      </c>
      <c r="E7">
        <v>-10343256979.67935</v>
      </c>
      <c r="F7">
        <v>-2.1324348671329609</v>
      </c>
      <c r="G7">
        <v>22365685273.111938</v>
      </c>
      <c r="H7">
        <v>-8.4667896895517625E-2</v>
      </c>
      <c r="I7">
        <v>119741090911.8488</v>
      </c>
      <c r="J7">
        <v>4.2300304444646284E-3</v>
      </c>
      <c r="K7">
        <v>26563709759.262791</v>
      </c>
      <c r="L7">
        <v>-0.40110310867518001</v>
      </c>
      <c r="O7" s="5" t="s">
        <v>6</v>
      </c>
      <c r="P7" s="8">
        <v>1</v>
      </c>
      <c r="Q7" s="8"/>
      <c r="R7" s="8"/>
      <c r="S7" s="8"/>
      <c r="T7" s="8"/>
      <c r="U7" s="8"/>
      <c r="W7" s="11">
        <f>CORREL($A$3:$A$97,B3:B97)</f>
        <v>-6.3197589872179397E-2</v>
      </c>
      <c r="X7" s="11">
        <f>CORREL($A$3:$A$97,C3:C97)</f>
        <v>-5.5112267435681829E-3</v>
      </c>
      <c r="Y7" s="11">
        <f>CORREL($A$3:$A$97,D3:D97)</f>
        <v>-1.2095940929557384E-2</v>
      </c>
      <c r="Z7" s="11">
        <f>CORREL($A$3:$A$97,E3:E97)</f>
        <v>-3.8329561746854791E-2</v>
      </c>
      <c r="AA7" s="11">
        <f>CORREL($A$3:$A$97,F3:F97)</f>
        <v>-6.3119927385575411E-2</v>
      </c>
    </row>
    <row r="8" spans="1:27" x14ac:dyDescent="0.25">
      <c r="A8">
        <v>2503445077.0845342</v>
      </c>
      <c r="B8">
        <v>-4.6283396041826491E-2</v>
      </c>
      <c r="C8">
        <v>-32025005738.290409</v>
      </c>
      <c r="D8">
        <v>1.875086297021911E-2</v>
      </c>
      <c r="E8">
        <v>-7533816223.3189392</v>
      </c>
      <c r="F8">
        <v>-1.01488062437662</v>
      </c>
      <c r="G8">
        <v>19098896802.700932</v>
      </c>
      <c r="H8">
        <v>5.5686391896682397E-2</v>
      </c>
      <c r="I8">
        <v>-70863382408.631958</v>
      </c>
      <c r="J8">
        <v>-4.23572455274496E-2</v>
      </c>
      <c r="K8">
        <v>-56441222587.861076</v>
      </c>
      <c r="L8">
        <v>-2.1435887302177399</v>
      </c>
      <c r="O8" s="5" t="s">
        <v>7</v>
      </c>
      <c r="P8" s="8">
        <v>-6.3197589872179397E-2</v>
      </c>
      <c r="Q8" s="8">
        <v>1</v>
      </c>
      <c r="R8" s="8"/>
      <c r="S8" s="8"/>
      <c r="T8" s="8"/>
      <c r="U8" s="8"/>
      <c r="W8">
        <f>COUNT($A$3:$A$97)</f>
        <v>91</v>
      </c>
      <c r="X8">
        <f>W8</f>
        <v>91</v>
      </c>
      <c r="Y8">
        <f t="shared" ref="Y8:AA8" si="0">X8</f>
        <v>91</v>
      </c>
      <c r="Z8">
        <f t="shared" si="0"/>
        <v>91</v>
      </c>
      <c r="AA8">
        <f t="shared" si="0"/>
        <v>91</v>
      </c>
    </row>
    <row r="9" spans="1:27" x14ac:dyDescent="0.25">
      <c r="A9">
        <v>-722459970.69140625</v>
      </c>
      <c r="B9">
        <v>-9.8514695256995133E-3</v>
      </c>
      <c r="C9">
        <v>20857502523.9505</v>
      </c>
      <c r="D9">
        <v>1.316160523206422E-2</v>
      </c>
      <c r="E9">
        <v>11200766927.1243</v>
      </c>
      <c r="F9">
        <v>1.285433437950241</v>
      </c>
      <c r="G9">
        <v>20890366203.123539</v>
      </c>
      <c r="H9">
        <v>-3.7625089715268012E-4</v>
      </c>
      <c r="I9">
        <v>-144908519488.8656</v>
      </c>
      <c r="J9">
        <v>-2.206664206871924E-2</v>
      </c>
      <c r="K9">
        <v>-40325664674.648407</v>
      </c>
      <c r="L9">
        <v>0.21196587144832971</v>
      </c>
      <c r="O9" s="5" t="s">
        <v>9</v>
      </c>
      <c r="P9" s="8">
        <v>-5.5112267435681829E-3</v>
      </c>
      <c r="Q9" s="8">
        <v>-0.28290818634589115</v>
      </c>
      <c r="R9" s="8">
        <v>1</v>
      </c>
      <c r="S9" s="8"/>
      <c r="T9" s="8"/>
      <c r="U9" s="8"/>
      <c r="W9">
        <f>W8-2</f>
        <v>89</v>
      </c>
      <c r="X9">
        <f t="shared" ref="X9" si="1">X8-2</f>
        <v>89</v>
      </c>
      <c r="Y9">
        <f t="shared" ref="Y9" si="2">Y8-2</f>
        <v>89</v>
      </c>
      <c r="Z9">
        <f t="shared" ref="Z9" si="3">Z8-2</f>
        <v>89</v>
      </c>
      <c r="AA9">
        <f t="shared" ref="AA9" si="4">AA8-2</f>
        <v>89</v>
      </c>
    </row>
    <row r="10" spans="1:27" x14ac:dyDescent="0.25">
      <c r="A10">
        <v>8240148137.0823975</v>
      </c>
      <c r="B10">
        <v>2.871888444720722E-3</v>
      </c>
      <c r="C10">
        <v>-34323110680.21051</v>
      </c>
      <c r="D10">
        <v>3.2699538053940942E-2</v>
      </c>
      <c r="E10">
        <v>-6814447321.305954</v>
      </c>
      <c r="F10">
        <v>-2.1293032099274911</v>
      </c>
      <c r="G10">
        <v>21271478503.63147</v>
      </c>
      <c r="H10">
        <v>-4.6690481996777923E-2</v>
      </c>
      <c r="I10">
        <v>84291037748.985352</v>
      </c>
      <c r="J10">
        <v>3.2994714659144622E-2</v>
      </c>
      <c r="K10">
        <v>41992198190.69809</v>
      </c>
      <c r="L10">
        <v>-2.5811375531952589</v>
      </c>
      <c r="O10" s="5" t="s">
        <v>11</v>
      </c>
      <c r="P10" s="8">
        <v>-1.2095940929557384E-2</v>
      </c>
      <c r="Q10" s="8">
        <v>0.36608127600292345</v>
      </c>
      <c r="R10" s="8">
        <v>-4.0494114752914291E-2</v>
      </c>
      <c r="S10" s="8">
        <v>1</v>
      </c>
      <c r="T10" s="8"/>
      <c r="U10" s="8"/>
      <c r="W10" s="10">
        <f>SQRT((1-W7^2)/W9)</f>
        <v>0.10578789806926887</v>
      </c>
      <c r="X10" s="10">
        <f>SQRT((1-X7^2)/X9)</f>
        <v>0.10599817818975994</v>
      </c>
      <c r="Y10" s="10">
        <f>SQRT((1-Y7^2)/Y9)</f>
        <v>0.10599203320777074</v>
      </c>
      <c r="Z10" s="10">
        <f>SQRT((1-Z7^2)/Z9)</f>
        <v>0.10592189430526999</v>
      </c>
      <c r="AA10" s="10">
        <f>SQRT((1-AA7^2)/AA9)</f>
        <v>0.10578841904538415</v>
      </c>
    </row>
    <row r="11" spans="1:27" x14ac:dyDescent="0.25">
      <c r="A11">
        <v>504060762.23660278</v>
      </c>
      <c r="B11">
        <v>3.6843167126975801E-2</v>
      </c>
      <c r="C11">
        <v>70757637944.825989</v>
      </c>
      <c r="D11">
        <v>-0.1117843087206189</v>
      </c>
      <c r="E11">
        <v>-793297752.56190491</v>
      </c>
      <c r="F11">
        <v>1.868033523070121</v>
      </c>
      <c r="G11">
        <v>15284604928.39233</v>
      </c>
      <c r="H11">
        <v>2.6286587860195221E-2</v>
      </c>
      <c r="I11">
        <v>-13660108961.38245</v>
      </c>
      <c r="J11">
        <v>0.1165783520514988</v>
      </c>
      <c r="K11">
        <v>107963689699.71091</v>
      </c>
      <c r="L11">
        <v>-8.9929800075896029</v>
      </c>
      <c r="O11" s="5" t="s">
        <v>10</v>
      </c>
      <c r="P11" s="8">
        <v>-3.8329561746854791E-2</v>
      </c>
      <c r="Q11" s="8">
        <v>6.5370218219878998E-2</v>
      </c>
      <c r="R11" s="8">
        <v>0.6151354828794896</v>
      </c>
      <c r="S11" s="8">
        <v>0.55481736071984489</v>
      </c>
      <c r="T11" s="8">
        <v>1</v>
      </c>
      <c r="U11" s="8"/>
      <c r="W11">
        <f>W10/W7</f>
        <v>-1.6739229816078542</v>
      </c>
      <c r="X11">
        <f>X10/X7</f>
        <v>-19.233136853507972</v>
      </c>
      <c r="Y11">
        <f>Y10/Y7</f>
        <v>-8.7626116748611818</v>
      </c>
      <c r="Z11">
        <f>Z10/Z7</f>
        <v>-2.7634517452827811</v>
      </c>
      <c r="AA11">
        <f>AA10/AA7</f>
        <v>-1.6759908229799332</v>
      </c>
    </row>
    <row r="12" spans="1:27" ht="15.75" thickBot="1" x14ac:dyDescent="0.3">
      <c r="A12">
        <v>6928465384.148407</v>
      </c>
      <c r="B12">
        <v>3.6433772415659399E-2</v>
      </c>
      <c r="C12">
        <v>63785325885.768799</v>
      </c>
      <c r="D12">
        <v>0.1006164595038779</v>
      </c>
      <c r="E12">
        <v>54782100578.453339</v>
      </c>
      <c r="F12">
        <v>2.468081412620529</v>
      </c>
      <c r="G12">
        <v>27949731745.430908</v>
      </c>
      <c r="H12">
        <v>5.0752914151002471E-2</v>
      </c>
      <c r="I12">
        <v>-51792080000.729134</v>
      </c>
      <c r="J12">
        <v>-0.13335064374447261</v>
      </c>
      <c r="K12">
        <v>-133155420065.21609</v>
      </c>
      <c r="L12">
        <v>12.432594358999459</v>
      </c>
      <c r="O12" s="6" t="s">
        <v>8</v>
      </c>
      <c r="P12" s="9">
        <v>-6.3119927385575411E-2</v>
      </c>
      <c r="Q12" s="9">
        <v>-0.49760566906490394</v>
      </c>
      <c r="R12" s="9">
        <v>0.72359123004590598</v>
      </c>
      <c r="S12" s="9">
        <v>-9.7184279720794547E-2</v>
      </c>
      <c r="T12" s="9">
        <v>0.42220177580175638</v>
      </c>
      <c r="U12" s="9">
        <v>1</v>
      </c>
      <c r="W12">
        <v>0.05</v>
      </c>
      <c r="X12">
        <v>0.05</v>
      </c>
      <c r="Y12">
        <v>0.05</v>
      </c>
      <c r="Z12">
        <v>0.05</v>
      </c>
      <c r="AA12">
        <v>0.05</v>
      </c>
    </row>
    <row r="13" spans="1:27" x14ac:dyDescent="0.25">
      <c r="A13">
        <v>11575918066.31723</v>
      </c>
      <c r="B13">
        <v>-1.547763391455911E-2</v>
      </c>
      <c r="C13">
        <v>93296629833.420593</v>
      </c>
      <c r="D13">
        <v>-1.4766346810546499E-2</v>
      </c>
      <c r="E13">
        <v>32610182634.511108</v>
      </c>
      <c r="F13">
        <v>5.4229118308931694</v>
      </c>
      <c r="G13">
        <v>17999545861.286251</v>
      </c>
      <c r="H13">
        <v>6.4134070980054192E-4</v>
      </c>
      <c r="I13">
        <v>50489039966.854492</v>
      </c>
      <c r="J13">
        <v>6.412778725264251E-2</v>
      </c>
      <c r="K13">
        <v>67516069134.044403</v>
      </c>
      <c r="L13">
        <v>4.7837002552143311</v>
      </c>
      <c r="W13">
        <f>_xlfn.T.INV.2T(W12,W9)</f>
        <v>1.986978699506285</v>
      </c>
      <c r="X13">
        <f t="shared" ref="X13" si="5">_xlfn.T.INV.2T(X12,X9)</f>
        <v>1.986978699506285</v>
      </c>
      <c r="Y13">
        <f t="shared" ref="Y13" si="6">_xlfn.T.INV.2T(Y12,Y9)</f>
        <v>1.986978699506285</v>
      </c>
      <c r="Z13">
        <f t="shared" ref="Z13" si="7">_xlfn.T.INV.2T(Z12,Z9)</f>
        <v>1.986978699506285</v>
      </c>
      <c r="AA13">
        <f t="shared" ref="AA13" si="8">_xlfn.T.INV.2T(AA12,AA9)</f>
        <v>1.986978699506285</v>
      </c>
    </row>
    <row r="14" spans="1:27" x14ac:dyDescent="0.25">
      <c r="A14">
        <v>-1662278822.9073789</v>
      </c>
      <c r="B14">
        <v>6.3189500998834525E-2</v>
      </c>
      <c r="C14">
        <v>-21989754266.30859</v>
      </c>
      <c r="D14">
        <v>6.0551998657349122E-2</v>
      </c>
      <c r="E14">
        <v>16201458157.088989</v>
      </c>
      <c r="F14">
        <v>-0.2957179161176775</v>
      </c>
      <c r="G14">
        <v>31459057660.71228</v>
      </c>
      <c r="H14">
        <v>2.7341042696852062E-2</v>
      </c>
      <c r="I14">
        <v>156951705044.2124</v>
      </c>
      <c r="J14">
        <v>0.1220833101366148</v>
      </c>
      <c r="K14">
        <v>166238937025.68381</v>
      </c>
      <c r="L14">
        <v>-8.9273977469367818</v>
      </c>
      <c r="V14" t="s">
        <v>42</v>
      </c>
      <c r="W14" s="10">
        <f>_xlfn.T.DIST.2T(ABS(W11),W9)</f>
        <v>9.7656844931563916E-2</v>
      </c>
      <c r="X14" s="10">
        <f t="shared" ref="X14:AA14" si="9">_xlfn.T.DIST.2T(ABS(X11),X9)</f>
        <v>1.8729685955213328E-33</v>
      </c>
      <c r="Y14" s="10">
        <f t="shared" si="9"/>
        <v>1.1643286266418023E-13</v>
      </c>
      <c r="Z14" s="10">
        <f t="shared" si="9"/>
        <v>6.9498554408115075E-3</v>
      </c>
      <c r="AA14" s="10">
        <f t="shared" si="9"/>
        <v>9.7249745562738327E-2</v>
      </c>
    </row>
    <row r="15" spans="1:27" x14ac:dyDescent="0.25">
      <c r="A15">
        <v>12910867799.14444</v>
      </c>
      <c r="B15">
        <v>0.13544736161312351</v>
      </c>
      <c r="C15">
        <v>-53894410463.09021</v>
      </c>
      <c r="D15">
        <v>-4.0690984335439939E-2</v>
      </c>
      <c r="E15">
        <v>-39687630922.116386</v>
      </c>
      <c r="F15">
        <v>-7.6789353127424818</v>
      </c>
      <c r="G15">
        <v>28947190453.946659</v>
      </c>
      <c r="H15">
        <v>0.1006167834177686</v>
      </c>
      <c r="I15">
        <v>-221309389206.70459</v>
      </c>
      <c r="J15">
        <v>-8.749798193660005E-2</v>
      </c>
      <c r="K15">
        <v>-148944802112.99429</v>
      </c>
      <c r="L15">
        <v>-6.1944698011455692</v>
      </c>
      <c r="W15" t="str">
        <f>IF(W14&lt;W12, "yes", "no")</f>
        <v>no</v>
      </c>
      <c r="X15" t="str">
        <f t="shared" ref="X15" si="10">IF(X14&lt;X12, "yes", "no")</f>
        <v>yes</v>
      </c>
      <c r="Y15" t="str">
        <f t="shared" ref="Y15" si="11">IF(Y14&lt;Y12, "yes", "no")</f>
        <v>yes</v>
      </c>
      <c r="Z15" t="str">
        <f t="shared" ref="Z15" si="12">IF(Z14&lt;Z12, "yes", "no")</f>
        <v>yes</v>
      </c>
      <c r="AA15" t="str">
        <f t="shared" ref="AA15" si="13">IF(AA14&lt;AA12, "yes", "no")</f>
        <v>no</v>
      </c>
    </row>
    <row r="16" spans="1:27" x14ac:dyDescent="0.25">
      <c r="A16">
        <v>10044332633.155239</v>
      </c>
      <c r="B16">
        <v>-0.25182344244273619</v>
      </c>
      <c r="C16">
        <v>82936979821.589905</v>
      </c>
      <c r="D16">
        <v>-0.1090117524443034</v>
      </c>
      <c r="E16">
        <v>-13181820689.40579</v>
      </c>
      <c r="F16">
        <v>2.0338995100604809</v>
      </c>
      <c r="G16">
        <v>27134593582.610111</v>
      </c>
      <c r="H16">
        <v>-0.1978557637512918</v>
      </c>
      <c r="I16">
        <v>10164016650.08386</v>
      </c>
      <c r="J16">
        <v>-3.4382236645639441E-2</v>
      </c>
      <c r="K16">
        <v>-28142534782.095001</v>
      </c>
      <c r="L16">
        <v>9.8022951417095907</v>
      </c>
    </row>
    <row r="17" spans="1:27" ht="15.75" thickBot="1" x14ac:dyDescent="0.3">
      <c r="A17">
        <v>-2194251890.9832759</v>
      </c>
      <c r="B17">
        <v>9.800129260290058E-4</v>
      </c>
      <c r="C17">
        <v>161662229564.82339</v>
      </c>
      <c r="D17">
        <v>-8.1152154408966198E-2</v>
      </c>
      <c r="E17">
        <v>1777722331.1682129</v>
      </c>
      <c r="F17">
        <v>3.1134264867502579</v>
      </c>
      <c r="G17">
        <v>29991428422.758179</v>
      </c>
      <c r="H17">
        <v>-1.6588218563243801E-2</v>
      </c>
      <c r="I17">
        <v>-90466930184.542725</v>
      </c>
      <c r="J17">
        <v>1.1093779596946679E-2</v>
      </c>
      <c r="K17">
        <v>-9571563665.3468018</v>
      </c>
      <c r="L17">
        <v>0.72260637423613971</v>
      </c>
      <c r="O17" t="s">
        <v>5</v>
      </c>
    </row>
    <row r="18" spans="1:27" x14ac:dyDescent="0.25">
      <c r="A18">
        <v>9111213392.6320801</v>
      </c>
      <c r="B18">
        <v>3.5850839936175487E-2</v>
      </c>
      <c r="C18">
        <v>2916353505.6430659</v>
      </c>
      <c r="D18">
        <v>4.0711184696330088E-2</v>
      </c>
      <c r="E18">
        <v>25426340357.832279</v>
      </c>
      <c r="F18">
        <v>-0.67185231547611934</v>
      </c>
      <c r="G18">
        <v>29702302768.69714</v>
      </c>
      <c r="H18">
        <v>-1.165827798079219E-2</v>
      </c>
      <c r="I18">
        <v>-59375930073.177856</v>
      </c>
      <c r="J18">
        <v>-2.2226445260090929E-2</v>
      </c>
      <c r="K18">
        <v>-29181050770.334381</v>
      </c>
      <c r="L18">
        <v>-4.3660764244064074</v>
      </c>
      <c r="O18" s="7"/>
      <c r="P18" s="7" t="s">
        <v>6</v>
      </c>
      <c r="Q18" s="7" t="s">
        <v>7</v>
      </c>
      <c r="R18" s="7" t="s">
        <v>9</v>
      </c>
      <c r="S18" s="7" t="s">
        <v>11</v>
      </c>
      <c r="T18" s="7" t="s">
        <v>10</v>
      </c>
      <c r="U18" s="7" t="s">
        <v>8</v>
      </c>
      <c r="W18" t="s">
        <v>7</v>
      </c>
      <c r="X18" t="s">
        <v>9</v>
      </c>
      <c r="Y18" t="s">
        <v>11</v>
      </c>
      <c r="Z18" t="s">
        <v>10</v>
      </c>
      <c r="AA18" t="s">
        <v>8</v>
      </c>
    </row>
    <row r="19" spans="1:27" x14ac:dyDescent="0.25">
      <c r="A19">
        <v>7627254101.9596252</v>
      </c>
      <c r="B19">
        <v>-2.948197531398539E-2</v>
      </c>
      <c r="C19">
        <v>6894475691.4238281</v>
      </c>
      <c r="D19">
        <v>-3.0842710159380119E-2</v>
      </c>
      <c r="E19">
        <v>-17069134941.444269</v>
      </c>
      <c r="F19">
        <v>-2.3840858925734998</v>
      </c>
      <c r="G19">
        <v>29665253907.291752</v>
      </c>
      <c r="H19">
        <v>-1.009223426407529E-2</v>
      </c>
      <c r="I19">
        <v>-63434651937.915527</v>
      </c>
      <c r="J19">
        <v>4.5102871719958942E-2</v>
      </c>
      <c r="K19">
        <v>18256486984.26889</v>
      </c>
      <c r="L19">
        <v>1.2452619476756071</v>
      </c>
      <c r="O19" s="5" t="s">
        <v>6</v>
      </c>
      <c r="P19" s="8">
        <v>1</v>
      </c>
      <c r="Q19" s="8"/>
      <c r="R19" s="8"/>
      <c r="S19" s="8"/>
      <c r="T19" s="8"/>
      <c r="U19" s="8"/>
      <c r="W19" s="11">
        <f>CORREL($G$3:$G$97,H3:H97)</f>
        <v>0.11431540689909468</v>
      </c>
      <c r="X19" s="11">
        <f>CORREL($G$3:$G$97,I3:I97)</f>
        <v>-3.1596246656357636E-2</v>
      </c>
      <c r="Y19" s="11">
        <f>CORREL($G$3:$G$97,J3:J97)</f>
        <v>0.1375959546717761</v>
      </c>
      <c r="Z19" s="11">
        <f>CORREL($G$3:$G$97,K3:K97)</f>
        <v>0.13031441945568867</v>
      </c>
      <c r="AA19" s="11">
        <f>CORREL($G$3:$G$97,L3:L97)</f>
        <v>-2.2417179065591836E-2</v>
      </c>
    </row>
    <row r="20" spans="1:27" x14ac:dyDescent="0.25">
      <c r="A20">
        <v>-604015388.35247803</v>
      </c>
      <c r="B20">
        <v>4.8790365684877046E-3</v>
      </c>
      <c r="C20">
        <v>170153990232.87939</v>
      </c>
      <c r="D20">
        <v>3.7439711408844438E-2</v>
      </c>
      <c r="E20">
        <v>70795826066.883087</v>
      </c>
      <c r="F20">
        <v>2.7633519491374212</v>
      </c>
      <c r="G20">
        <v>35744467966.165527</v>
      </c>
      <c r="H20">
        <v>2.2556180727084599E-2</v>
      </c>
      <c r="I20">
        <v>39708953217.419678</v>
      </c>
      <c r="J20">
        <v>8.8864068455758949E-2</v>
      </c>
      <c r="K20">
        <v>73005825553.703308</v>
      </c>
      <c r="L20">
        <v>1.30683918477623</v>
      </c>
      <c r="O20" s="5" t="s">
        <v>7</v>
      </c>
      <c r="P20" s="8">
        <v>0.11431540689909468</v>
      </c>
      <c r="Q20" s="8">
        <v>1</v>
      </c>
      <c r="R20" s="8"/>
      <c r="S20" s="8"/>
      <c r="T20" s="8"/>
      <c r="U20" s="8"/>
      <c r="W20">
        <f>COUNT($A$3:$A$97)</f>
        <v>91</v>
      </c>
      <c r="X20">
        <f>W20</f>
        <v>91</v>
      </c>
      <c r="Y20">
        <f t="shared" ref="Y20:AA20" si="14">X20</f>
        <v>91</v>
      </c>
      <c r="Z20">
        <f t="shared" si="14"/>
        <v>91</v>
      </c>
      <c r="AA20">
        <f t="shared" si="14"/>
        <v>91</v>
      </c>
    </row>
    <row r="21" spans="1:27" x14ac:dyDescent="0.25">
      <c r="A21">
        <v>8627283750.9066162</v>
      </c>
      <c r="B21">
        <v>3.5242671726963597E-2</v>
      </c>
      <c r="C21">
        <v>65545896073.820801</v>
      </c>
      <c r="D21">
        <v>-5.2103607217298092E-2</v>
      </c>
      <c r="E21">
        <v>-25904138660.572201</v>
      </c>
      <c r="F21">
        <v>2.0562684900996402</v>
      </c>
      <c r="G21">
        <v>36153234535.322632</v>
      </c>
      <c r="H21">
        <v>-9.1993890691096092E-3</v>
      </c>
      <c r="I21">
        <v>-26068532431.759769</v>
      </c>
      <c r="J21">
        <v>-0.1243291628406062</v>
      </c>
      <c r="K21">
        <v>-94208675734.313416</v>
      </c>
      <c r="L21">
        <v>-6.5281883885541347E-2</v>
      </c>
      <c r="O21" s="5" t="s">
        <v>9</v>
      </c>
      <c r="P21" s="8">
        <v>-3.1596246656357636E-2</v>
      </c>
      <c r="Q21" s="8">
        <v>-0.2595327624771212</v>
      </c>
      <c r="R21" s="8">
        <v>1</v>
      </c>
      <c r="S21" s="8"/>
      <c r="T21" s="8"/>
      <c r="U21" s="8"/>
      <c r="W21">
        <f>W20-2</f>
        <v>89</v>
      </c>
      <c r="X21">
        <f t="shared" ref="X21" si="15">X20-2</f>
        <v>89</v>
      </c>
      <c r="Y21">
        <f t="shared" ref="Y21" si="16">Y20-2</f>
        <v>89</v>
      </c>
      <c r="Z21">
        <f t="shared" ref="Z21" si="17">Z20-2</f>
        <v>89</v>
      </c>
      <c r="AA21">
        <f t="shared" ref="AA21" si="18">AA20-2</f>
        <v>89</v>
      </c>
    </row>
    <row r="22" spans="1:27" x14ac:dyDescent="0.25">
      <c r="A22">
        <v>9580139700.8459473</v>
      </c>
      <c r="B22">
        <v>-3.6835487663053723E-2</v>
      </c>
      <c r="C22">
        <v>184523871853.23679</v>
      </c>
      <c r="D22">
        <v>2.350135887928503E-2</v>
      </c>
      <c r="E22">
        <v>66524283797.281311</v>
      </c>
      <c r="F22">
        <v>3.8285627786021408</v>
      </c>
      <c r="G22">
        <v>38789072710.564453</v>
      </c>
      <c r="H22">
        <v>2.8367133917420791E-2</v>
      </c>
      <c r="I22">
        <v>50775701332.375</v>
      </c>
      <c r="J22">
        <v>0.11453015837010069</v>
      </c>
      <c r="K22">
        <v>95025036905.359497</v>
      </c>
      <c r="L22">
        <v>1.541233188113742</v>
      </c>
      <c r="O22" s="5" t="s">
        <v>11</v>
      </c>
      <c r="P22" s="8">
        <v>0.1375959546717761</v>
      </c>
      <c r="Q22" s="8">
        <v>0.15872804657326253</v>
      </c>
      <c r="R22" s="8">
        <v>2.2924062440577767E-2</v>
      </c>
      <c r="S22" s="8">
        <v>1</v>
      </c>
      <c r="T22" s="8"/>
      <c r="U22" s="8"/>
      <c r="W22" s="10">
        <f>SQRT((1-W19^2)/W21)</f>
        <v>0.10530490709275871</v>
      </c>
      <c r="X22" s="10">
        <f>SQRT((1-X19^2)/X21)</f>
        <v>0.10594686378575016</v>
      </c>
      <c r="Y22" s="10">
        <f>SQRT((1-Y19^2)/Y21)</f>
        <v>0.10499156484352309</v>
      </c>
      <c r="Z22" s="10">
        <f>SQRT((1-Z19^2)/Z21)</f>
        <v>0.10509589799892964</v>
      </c>
      <c r="AA22" s="10">
        <f>SQRT((1-AA19^2)/AA21)</f>
        <v>0.10597315062134875</v>
      </c>
    </row>
    <row r="23" spans="1:27" x14ac:dyDescent="0.25">
      <c r="A23">
        <v>-2781269107.864502</v>
      </c>
      <c r="B23">
        <v>0.28492982111305382</v>
      </c>
      <c r="C23">
        <v>-120834003322.90041</v>
      </c>
      <c r="D23">
        <v>3.610345322560804E-2</v>
      </c>
      <c r="E23">
        <v>2527395736.17099</v>
      </c>
      <c r="F23">
        <v>-5.5912384056878217</v>
      </c>
      <c r="G23">
        <v>36409234360.20459</v>
      </c>
      <c r="H23">
        <v>0.1059472773283579</v>
      </c>
      <c r="I23">
        <v>189873000242.0155</v>
      </c>
      <c r="J23">
        <v>0.29136367532392887</v>
      </c>
      <c r="K23">
        <v>331085738645.9491</v>
      </c>
      <c r="L23">
        <v>0.88000379980065979</v>
      </c>
      <c r="O23" s="5" t="s">
        <v>10</v>
      </c>
      <c r="P23" s="8">
        <v>0.13031441945568867</v>
      </c>
      <c r="Q23" s="8">
        <v>9.1591198072820984E-2</v>
      </c>
      <c r="R23" s="8">
        <v>0.34087394207496563</v>
      </c>
      <c r="S23" s="8">
        <v>0.85704210932546943</v>
      </c>
      <c r="T23" s="8">
        <v>1</v>
      </c>
      <c r="U23" s="8"/>
      <c r="W23">
        <f>W22/W19</f>
        <v>0.92117860531004825</v>
      </c>
      <c r="X23">
        <f>X22/X19</f>
        <v>-3.3531471297218802</v>
      </c>
      <c r="Y23">
        <f>Y22/Y19</f>
        <v>0.76304252616998725</v>
      </c>
      <c r="Z23">
        <f>Z22/Z19</f>
        <v>0.80647942444056098</v>
      </c>
      <c r="AA23">
        <f>AA22/AA19</f>
        <v>-4.7273187367275442</v>
      </c>
    </row>
    <row r="24" spans="1:27" ht="15.75" thickBot="1" x14ac:dyDescent="0.3">
      <c r="A24">
        <v>10832727167.85046</v>
      </c>
      <c r="B24">
        <v>-0.21813036128173319</v>
      </c>
      <c r="C24">
        <v>67242957833.175293</v>
      </c>
      <c r="D24">
        <v>-9.3572531552328558E-2</v>
      </c>
      <c r="E24">
        <v>-72440971438.932281</v>
      </c>
      <c r="F24">
        <v>3.60867570481722</v>
      </c>
      <c r="G24">
        <v>45256640253.738037</v>
      </c>
      <c r="H24">
        <v>-0.14843349328121011</v>
      </c>
      <c r="I24">
        <v>173357705015.94031</v>
      </c>
      <c r="J24">
        <v>-0.2228487066634946</v>
      </c>
      <c r="K24">
        <v>-140442379833.4169</v>
      </c>
      <c r="L24">
        <v>-0.1672097332651212</v>
      </c>
      <c r="O24" s="6" t="s">
        <v>8</v>
      </c>
      <c r="P24" s="9">
        <v>-2.2417179065591836E-2</v>
      </c>
      <c r="Q24" s="9">
        <v>-0.23227793826588314</v>
      </c>
      <c r="R24" s="9">
        <v>0.38472380905515741</v>
      </c>
      <c r="S24" s="9">
        <v>-0.15479649348000929</v>
      </c>
      <c r="T24" s="9">
        <v>-2.1279222075543426E-2</v>
      </c>
      <c r="U24" s="9">
        <v>1</v>
      </c>
      <c r="W24">
        <v>0.05</v>
      </c>
      <c r="X24">
        <v>0.05</v>
      </c>
      <c r="Y24">
        <v>0.05</v>
      </c>
      <c r="Z24">
        <v>0.05</v>
      </c>
      <c r="AA24">
        <v>0.05</v>
      </c>
    </row>
    <row r="25" spans="1:27" x14ac:dyDescent="0.25">
      <c r="A25">
        <v>35621935.827087402</v>
      </c>
      <c r="B25">
        <v>-4.9565185788678079E-2</v>
      </c>
      <c r="C25">
        <v>181618918957.17111</v>
      </c>
      <c r="D25">
        <v>1.361667947017076E-2</v>
      </c>
      <c r="E25">
        <v>51203934000.494598</v>
      </c>
      <c r="F25">
        <v>3.849254085138369</v>
      </c>
      <c r="G25">
        <v>47863732022.253662</v>
      </c>
      <c r="H25">
        <v>5.4429230865455168E-2</v>
      </c>
      <c r="I25">
        <v>760872255613.96704</v>
      </c>
      <c r="J25">
        <v>-2.4508580914297921E-2</v>
      </c>
      <c r="K25">
        <v>247448255141.91251</v>
      </c>
      <c r="L25">
        <v>4.956216644684611</v>
      </c>
      <c r="W25">
        <f>_xlfn.T.INV.2T(W24,W21)</f>
        <v>1.986978699506285</v>
      </c>
      <c r="X25">
        <f t="shared" ref="X25" si="19">_xlfn.T.INV.2T(X24,X21)</f>
        <v>1.986978699506285</v>
      </c>
      <c r="Y25">
        <f t="shared" ref="Y25" si="20">_xlfn.T.INV.2T(Y24,Y21)</f>
        <v>1.986978699506285</v>
      </c>
      <c r="Z25">
        <f t="shared" ref="Z25" si="21">_xlfn.T.INV.2T(Z24,Z21)</f>
        <v>1.986978699506285</v>
      </c>
      <c r="AA25">
        <f t="shared" ref="AA25" si="22">_xlfn.T.INV.2T(AA24,AA21)</f>
        <v>1.986978699506285</v>
      </c>
    </row>
    <row r="26" spans="1:27" x14ac:dyDescent="0.25">
      <c r="A26">
        <v>8136337791.1976929</v>
      </c>
      <c r="B26">
        <v>8.4602749972311708E-2</v>
      </c>
      <c r="C26">
        <v>-85296228329.959106</v>
      </c>
      <c r="D26">
        <v>2.253167869109499E-2</v>
      </c>
      <c r="E26">
        <v>6510010355.8423767</v>
      </c>
      <c r="F26">
        <v>-2.7532859081197998</v>
      </c>
      <c r="G26">
        <v>72543000874.386719</v>
      </c>
      <c r="H26">
        <v>6.2955034007688232E-2</v>
      </c>
      <c r="I26">
        <v>745131672863.64185</v>
      </c>
      <c r="J26">
        <v>0.22528346916633751</v>
      </c>
      <c r="K26">
        <v>856636664167.71008</v>
      </c>
      <c r="L26">
        <v>5.0763673512218332E-2</v>
      </c>
      <c r="V26" t="s">
        <v>42</v>
      </c>
      <c r="W26" s="10">
        <f>_xlfn.T.DIST.2T(ABS(W23),W21)</f>
        <v>0.35944748350062727</v>
      </c>
      <c r="X26" s="10">
        <f t="shared" ref="X26:AA26" si="23">_xlfn.T.DIST.2T(ABS(X23),X21)</f>
        <v>1.1749541455401591E-3</v>
      </c>
      <c r="Y26" s="10">
        <f t="shared" si="23"/>
        <v>0.44745586505291757</v>
      </c>
      <c r="Z26" s="10">
        <f t="shared" si="23"/>
        <v>0.42211628453626626</v>
      </c>
      <c r="AA26" s="10">
        <f t="shared" si="23"/>
        <v>8.4724706530794127E-6</v>
      </c>
    </row>
    <row r="27" spans="1:27" x14ac:dyDescent="0.25">
      <c r="A27">
        <v>8670413078.5150757</v>
      </c>
      <c r="B27">
        <v>-5.9349049234760309E-2</v>
      </c>
      <c r="C27">
        <v>179102592087.88101</v>
      </c>
      <c r="D27">
        <v>-1.9185375038455101E-2</v>
      </c>
      <c r="E27">
        <v>17240547617.324009</v>
      </c>
      <c r="F27">
        <v>-2.1961864602445691</v>
      </c>
      <c r="G27">
        <v>41056412096.604248</v>
      </c>
      <c r="H27">
        <v>-5.4837916393476398E-2</v>
      </c>
      <c r="I27">
        <v>766194974212.06396</v>
      </c>
      <c r="J27">
        <v>0.38938716012137992</v>
      </c>
      <c r="K27">
        <v>1763385044904.3501</v>
      </c>
      <c r="L27">
        <v>2.3531515875429818</v>
      </c>
      <c r="W27" t="str">
        <f>IF(W26&lt;W24, "yes", "no")</f>
        <v>no</v>
      </c>
      <c r="X27" t="str">
        <f t="shared" ref="X27" si="24">IF(X26&lt;X24, "yes", "no")</f>
        <v>yes</v>
      </c>
      <c r="Y27" t="str">
        <f t="shared" ref="Y27" si="25">IF(Y26&lt;Y24, "yes", "no")</f>
        <v>no</v>
      </c>
      <c r="Z27" t="str">
        <f t="shared" ref="Z27" si="26">IF(Z26&lt;Z24, "yes", "no")</f>
        <v>no</v>
      </c>
      <c r="AA27" t="str">
        <f t="shared" ref="AA27" si="27">IF(AA26&lt;AA24, "yes", "no")</f>
        <v>yes</v>
      </c>
    </row>
    <row r="28" spans="1:27" x14ac:dyDescent="0.25">
      <c r="A28">
        <v>8140655610.3591919</v>
      </c>
      <c r="B28">
        <v>6.6511864364533879E-2</v>
      </c>
      <c r="C28">
        <v>341419173747.92407</v>
      </c>
      <c r="D28">
        <v>3.236377799989643E-3</v>
      </c>
      <c r="E28">
        <v>77451137347.265015</v>
      </c>
      <c r="F28">
        <v>3.3666433407935301</v>
      </c>
      <c r="G28">
        <v>38414637367.023682</v>
      </c>
      <c r="H28">
        <v>0.16702035106287019</v>
      </c>
      <c r="I28">
        <v>1655276414282.3459</v>
      </c>
      <c r="J28">
        <v>-0.44615517636076768</v>
      </c>
      <c r="K28">
        <v>-629897019487.90918</v>
      </c>
      <c r="L28">
        <v>4.8261535048574302</v>
      </c>
    </row>
    <row r="29" spans="1:27" x14ac:dyDescent="0.25">
      <c r="A29">
        <v>13886835457.570681</v>
      </c>
      <c r="B29">
        <v>5.3484434639038292E-2</v>
      </c>
      <c r="C29">
        <v>391707994723.03912</v>
      </c>
      <c r="D29">
        <v>5.5424777514991717E-2</v>
      </c>
      <c r="E29">
        <v>194482816036.81299</v>
      </c>
      <c r="F29">
        <v>5.1630290207982199</v>
      </c>
      <c r="G29">
        <v>44837597852.805183</v>
      </c>
      <c r="H29">
        <v>5.561177090070113E-2</v>
      </c>
      <c r="I29">
        <v>1361018063778.9409</v>
      </c>
      <c r="J29">
        <v>-0.25602999135139132</v>
      </c>
      <c r="K29">
        <v>-916138481600.36182</v>
      </c>
      <c r="L29">
        <v>-0.23940028277658951</v>
      </c>
    </row>
    <row r="30" spans="1:27" x14ac:dyDescent="0.25">
      <c r="A30">
        <v>919576776.59661865</v>
      </c>
      <c r="B30">
        <v>0.1874048486747891</v>
      </c>
      <c r="C30">
        <v>-442754387375.23712</v>
      </c>
      <c r="D30">
        <v>1.796088325631606E-3</v>
      </c>
      <c r="E30">
        <v>-116925183636.6707</v>
      </c>
      <c r="F30">
        <v>-7.4587574422170491</v>
      </c>
      <c r="G30">
        <v>43046273703.518311</v>
      </c>
      <c r="H30">
        <v>0.14666355295291009</v>
      </c>
      <c r="I30">
        <v>-2116064506999.9089</v>
      </c>
      <c r="J30">
        <v>0.150830557836683</v>
      </c>
      <c r="K30">
        <v>66713705087.610107</v>
      </c>
      <c r="L30">
        <v>-6.5129692990594714</v>
      </c>
    </row>
    <row r="31" spans="1:27" x14ac:dyDescent="0.25">
      <c r="A31">
        <v>30847697442.42749</v>
      </c>
      <c r="B31">
        <v>-0.2315015541297529</v>
      </c>
      <c r="C31">
        <v>-344062392116.146</v>
      </c>
      <c r="D31">
        <v>1.131038378952853E-2</v>
      </c>
      <c r="E31">
        <v>-80031986326.602478</v>
      </c>
      <c r="F31">
        <v>-5.426490867699421</v>
      </c>
      <c r="G31">
        <v>43164975426.428711</v>
      </c>
      <c r="H31">
        <v>-0.2689686038832883</v>
      </c>
      <c r="I31">
        <v>-924125972219.19629</v>
      </c>
      <c r="J31">
        <v>-1.302894097598334E-2</v>
      </c>
      <c r="K31">
        <v>-435561895349.68597</v>
      </c>
      <c r="L31">
        <v>-2.7512509285382509</v>
      </c>
    </row>
    <row r="32" spans="1:27" x14ac:dyDescent="0.25">
      <c r="A32">
        <v>4203693441.1933589</v>
      </c>
      <c r="B32">
        <v>0.18810060040698229</v>
      </c>
      <c r="C32">
        <v>-29734916395.51392</v>
      </c>
      <c r="D32">
        <v>-1.3863195289261609E-2</v>
      </c>
      <c r="E32">
        <v>-24695366899.653381</v>
      </c>
      <c r="F32">
        <v>-1.219780481535309</v>
      </c>
      <c r="G32">
        <v>42207961314.847412</v>
      </c>
      <c r="H32">
        <v>0.16688451217735439</v>
      </c>
      <c r="I32">
        <v>-555797049429.14014</v>
      </c>
      <c r="J32">
        <v>-9.7237020261473295E-2</v>
      </c>
      <c r="K32">
        <v>-500308898414.21802</v>
      </c>
      <c r="L32">
        <v>-5.7739423282631783</v>
      </c>
    </row>
    <row r="33" spans="1:12" x14ac:dyDescent="0.25">
      <c r="A33">
        <v>-17206216871.401058</v>
      </c>
      <c r="B33">
        <v>0.21244426568997041</v>
      </c>
      <c r="C33">
        <v>-305497185714.65002</v>
      </c>
      <c r="D33">
        <v>-7.5950002221393254E-3</v>
      </c>
      <c r="E33">
        <v>-88955066046.48941</v>
      </c>
      <c r="F33">
        <v>-4.312739351549741</v>
      </c>
      <c r="G33">
        <v>11449712292.08643</v>
      </c>
      <c r="H33">
        <v>0.35195393601277641</v>
      </c>
      <c r="I33">
        <v>-484141302206.63281</v>
      </c>
      <c r="J33">
        <v>0.1045824392348662</v>
      </c>
      <c r="K33">
        <v>89831159312.2323</v>
      </c>
      <c r="L33">
        <v>-0.8212300791859235</v>
      </c>
    </row>
    <row r="34" spans="1:12" x14ac:dyDescent="0.25">
      <c r="A34">
        <v>636446766.72503662</v>
      </c>
      <c r="B34">
        <v>-0.2296007025870905</v>
      </c>
      <c r="C34">
        <v>-70398751419.473389</v>
      </c>
      <c r="D34">
        <v>-7.3605097784318896E-3</v>
      </c>
      <c r="E34">
        <v>-24314910281.579498</v>
      </c>
      <c r="F34">
        <v>0.1479708029590405</v>
      </c>
      <c r="G34">
        <v>22465130090.94751</v>
      </c>
      <c r="H34">
        <v>-0.3939620253562004</v>
      </c>
      <c r="I34">
        <v>751836965927.95508</v>
      </c>
      <c r="J34">
        <v>0.1554597449286296</v>
      </c>
      <c r="K34">
        <v>790805800151.08972</v>
      </c>
      <c r="L34">
        <v>2.1275686360182529</v>
      </c>
    </row>
    <row r="35" spans="1:12" x14ac:dyDescent="0.25">
      <c r="A35">
        <v>7141568060.4303589</v>
      </c>
      <c r="B35">
        <v>0.1237378242782738</v>
      </c>
      <c r="C35">
        <v>481614645927.89728</v>
      </c>
      <c r="D35">
        <v>6.2639832927710748E-2</v>
      </c>
      <c r="E35">
        <v>202764083087.3125</v>
      </c>
      <c r="F35">
        <v>6.3694552212501492</v>
      </c>
      <c r="G35">
        <v>54397795125.311768</v>
      </c>
      <c r="H35">
        <v>-7.7316380232535176E-2</v>
      </c>
      <c r="I35">
        <v>787823504371.01807</v>
      </c>
      <c r="J35">
        <v>6.5442989454895684E-2</v>
      </c>
      <c r="K35">
        <v>704130322517.82397</v>
      </c>
      <c r="L35">
        <v>4.9953657498981698</v>
      </c>
    </row>
    <row r="36" spans="1:12" x14ac:dyDescent="0.25">
      <c r="A36">
        <v>5232581359.2958984</v>
      </c>
      <c r="B36">
        <v>-0.239480929983899</v>
      </c>
      <c r="C36">
        <v>70481200661.983887</v>
      </c>
      <c r="D36">
        <v>-2.9629527479744341E-2</v>
      </c>
      <c r="E36">
        <v>-17623721816.309391</v>
      </c>
      <c r="F36">
        <v>3.6879737390560412</v>
      </c>
      <c r="G36">
        <v>71989223105.730469</v>
      </c>
      <c r="H36">
        <v>-7.3877657156122711E-2</v>
      </c>
      <c r="I36">
        <v>-88098582826.126953</v>
      </c>
      <c r="J36">
        <v>0.20084068770398819</v>
      </c>
      <c r="K36">
        <v>699483284625.41113</v>
      </c>
      <c r="L36">
        <v>1.9854904255372789</v>
      </c>
    </row>
    <row r="37" spans="1:12" x14ac:dyDescent="0.25">
      <c r="A37">
        <v>986354952.9329834</v>
      </c>
      <c r="B37">
        <v>-8.0744136259802896E-2</v>
      </c>
      <c r="C37">
        <v>38501784188.133057</v>
      </c>
      <c r="D37">
        <v>-6.0325986628583773E-2</v>
      </c>
      <c r="E37">
        <v>-72660473044.772644</v>
      </c>
      <c r="F37">
        <v>0.87619294813383064</v>
      </c>
      <c r="G37">
        <v>61629275895.987061</v>
      </c>
      <c r="H37">
        <v>-4.9456807487339799E-2</v>
      </c>
      <c r="I37">
        <v>858704826210.49023</v>
      </c>
      <c r="J37">
        <v>-0.23207547247234089</v>
      </c>
      <c r="K37">
        <v>-351206999700.8252</v>
      </c>
      <c r="L37">
        <v>1.067338776410871</v>
      </c>
    </row>
    <row r="38" spans="1:12" x14ac:dyDescent="0.25">
      <c r="A38">
        <v>11340075031.38489</v>
      </c>
      <c r="B38">
        <v>-4.9710894951809581E-2</v>
      </c>
      <c r="C38">
        <v>46800003856.717041</v>
      </c>
      <c r="D38">
        <v>-3.3042865847127151E-2</v>
      </c>
      <c r="E38">
        <v>-36772543911.094597</v>
      </c>
      <c r="F38">
        <v>0.38474645667352902</v>
      </c>
      <c r="G38">
        <v>60081966598.706047</v>
      </c>
      <c r="H38">
        <v>-1.8423025853780969E-5</v>
      </c>
      <c r="I38">
        <v>-69001501431.794922</v>
      </c>
      <c r="J38">
        <v>-0.13372722244561541</v>
      </c>
      <c r="K38">
        <v>-650803879713.90601</v>
      </c>
      <c r="L38">
        <v>-9.7822700239529325E-2</v>
      </c>
    </row>
    <row r="39" spans="1:12" x14ac:dyDescent="0.25">
      <c r="A39">
        <v>5412342166.982605</v>
      </c>
      <c r="B39">
        <v>8.5180029393212703E-2</v>
      </c>
      <c r="C39">
        <v>80053116617.848877</v>
      </c>
      <c r="D39">
        <v>-1.96112210596017E-2</v>
      </c>
      <c r="E39">
        <v>-14155609874.33127</v>
      </c>
      <c r="F39">
        <v>-0.74242644749967113</v>
      </c>
      <c r="G39">
        <v>59598368915.152832</v>
      </c>
      <c r="H39">
        <v>1.9763885072462069E-2</v>
      </c>
      <c r="I39">
        <v>-920946432673.34863</v>
      </c>
      <c r="J39">
        <v>8.9137126359450536E-2</v>
      </c>
      <c r="K39">
        <v>-113087992287.6541</v>
      </c>
      <c r="L39">
        <v>-4.2980911496237511</v>
      </c>
    </row>
    <row r="40" spans="1:12" x14ac:dyDescent="0.25">
      <c r="A40">
        <v>11296354621.93866</v>
      </c>
      <c r="B40">
        <v>-0.13890632680481879</v>
      </c>
      <c r="C40">
        <v>75202151605.37207</v>
      </c>
      <c r="D40">
        <v>2.3252362983088859E-3</v>
      </c>
      <c r="E40">
        <v>16833705892.9006</v>
      </c>
      <c r="F40">
        <v>2.478147453638162</v>
      </c>
      <c r="G40">
        <v>59491758773.897949</v>
      </c>
      <c r="H40">
        <v>-0.1027554988224146</v>
      </c>
      <c r="I40">
        <v>786619590468.09961</v>
      </c>
      <c r="J40">
        <v>-4.3556402607652922E-2</v>
      </c>
      <c r="K40">
        <v>250775012823.85989</v>
      </c>
      <c r="L40">
        <v>-0.30227915253136928</v>
      </c>
    </row>
    <row r="41" spans="1:12" x14ac:dyDescent="0.25">
      <c r="A41">
        <v>5746229347.1029053</v>
      </c>
      <c r="B41">
        <v>6.2367179465091821E-2</v>
      </c>
      <c r="C41">
        <v>2607920943.0109859</v>
      </c>
      <c r="D41">
        <v>8.320721038656248E-3</v>
      </c>
      <c r="E41">
        <v>13714195639.984381</v>
      </c>
      <c r="F41">
        <v>-3.8900774737098409</v>
      </c>
      <c r="G41">
        <v>55831875422.939697</v>
      </c>
      <c r="H41">
        <v>3.5514337827082298E-2</v>
      </c>
      <c r="I41">
        <v>387271858215.64447</v>
      </c>
      <c r="J41">
        <v>0.2140120847243091</v>
      </c>
      <c r="K41">
        <v>1229855573401.76</v>
      </c>
      <c r="L41">
        <v>-0.44325598153572981</v>
      </c>
    </row>
    <row r="42" spans="1:12" x14ac:dyDescent="0.25">
      <c r="A42">
        <v>6682430477.8519897</v>
      </c>
      <c r="B42">
        <v>3.5989872478842277E-2</v>
      </c>
      <c r="C42">
        <v>-94320925651.682861</v>
      </c>
      <c r="D42">
        <v>-3.9796413591835417E-2</v>
      </c>
      <c r="E42">
        <v>-77111038834.659302</v>
      </c>
      <c r="F42">
        <v>-1.0890337932064289</v>
      </c>
      <c r="G42">
        <v>65557255207.89209</v>
      </c>
      <c r="H42">
        <v>6.0715855117718931E-3</v>
      </c>
      <c r="I42">
        <v>98821891586.405273</v>
      </c>
      <c r="J42">
        <v>-0.2459831933551225</v>
      </c>
      <c r="K42">
        <v>-1133939185771.8379</v>
      </c>
      <c r="L42">
        <v>-1.335575228756511</v>
      </c>
    </row>
    <row r="43" spans="1:12" x14ac:dyDescent="0.25">
      <c r="A43">
        <v>9960433979.6413574</v>
      </c>
      <c r="B43">
        <v>-5.8604869817150379E-2</v>
      </c>
      <c r="C43">
        <v>-34188224631.291019</v>
      </c>
      <c r="D43">
        <v>-1.6592582253716018E-2</v>
      </c>
      <c r="E43">
        <v>-29270440895.50098</v>
      </c>
      <c r="F43">
        <v>-1.4206539222869421</v>
      </c>
      <c r="G43">
        <v>63136115126.487793</v>
      </c>
      <c r="H43">
        <v>-3.7026113848749487E-2</v>
      </c>
      <c r="I43">
        <v>-263410661511.57031</v>
      </c>
      <c r="J43">
        <v>-6.6559845557564556E-2</v>
      </c>
      <c r="K43">
        <v>-437449401582.28809</v>
      </c>
      <c r="L43">
        <v>-0.28726031421414971</v>
      </c>
    </row>
    <row r="44" spans="1:12" x14ac:dyDescent="0.25">
      <c r="A44">
        <v>-5523320390.7730103</v>
      </c>
      <c r="B44">
        <v>8.761701760922927E-2</v>
      </c>
      <c r="C44">
        <v>-245785750648.06491</v>
      </c>
      <c r="D44">
        <v>1.8861372951813889E-2</v>
      </c>
      <c r="E44">
        <v>-8709720030.5519104</v>
      </c>
      <c r="F44">
        <v>-2.2217989423893978</v>
      </c>
      <c r="G44">
        <v>51327960762.069092</v>
      </c>
      <c r="H44">
        <v>0.1881919964374055</v>
      </c>
      <c r="I44">
        <v>-614185950085.56006</v>
      </c>
      <c r="J44">
        <v>1.656278141634265E-2</v>
      </c>
      <c r="K44">
        <v>-192104464540.03711</v>
      </c>
      <c r="L44">
        <v>-4.6030736930521989</v>
      </c>
    </row>
    <row r="45" spans="1:12" x14ac:dyDescent="0.25">
      <c r="A45">
        <v>-6828405451.128418</v>
      </c>
      <c r="B45">
        <v>2.5454583578613521E-2</v>
      </c>
      <c r="C45">
        <v>-117593106954.80811</v>
      </c>
      <c r="D45">
        <v>-1.4993687085924769E-2</v>
      </c>
      <c r="E45">
        <v>-33885609090.592991</v>
      </c>
      <c r="F45">
        <v>-3.21520534592843</v>
      </c>
      <c r="G45">
        <v>29173304499.44067</v>
      </c>
      <c r="H45">
        <v>3.8679166404946508E-2</v>
      </c>
      <c r="I45">
        <v>-310325517325.85992</v>
      </c>
      <c r="J45">
        <v>-9.7060960462035384E-2</v>
      </c>
      <c r="K45">
        <v>-496655174603.19598</v>
      </c>
      <c r="L45">
        <v>0.54338157031723178</v>
      </c>
    </row>
    <row r="46" spans="1:12" x14ac:dyDescent="0.25">
      <c r="A46">
        <v>26922527798.941349</v>
      </c>
      <c r="B46">
        <v>-4.5122224946185618E-2</v>
      </c>
      <c r="C46">
        <v>145530548426.09109</v>
      </c>
      <c r="D46">
        <v>3.3979457559571713E-2</v>
      </c>
      <c r="E46">
        <v>61677874372.303772</v>
      </c>
      <c r="F46">
        <v>1.651613641191251</v>
      </c>
      <c r="G46">
        <v>34752816621.779793</v>
      </c>
      <c r="H46">
        <v>-0.17397372508398459</v>
      </c>
      <c r="I46">
        <v>109847294003.8091</v>
      </c>
      <c r="J46">
        <v>5.4646595726608238E-2</v>
      </c>
      <c r="K46">
        <v>246555090121.2261</v>
      </c>
      <c r="L46">
        <v>1.090267536241827</v>
      </c>
    </row>
    <row r="47" spans="1:12" x14ac:dyDescent="0.25">
      <c r="A47">
        <v>-1317401939.8887939</v>
      </c>
      <c r="B47">
        <v>-3.3318328545661691E-2</v>
      </c>
      <c r="C47">
        <v>-56059806812.985107</v>
      </c>
      <c r="D47">
        <v>-4.3772783721451852E-2</v>
      </c>
      <c r="E47">
        <v>-61452759161.227173</v>
      </c>
      <c r="F47">
        <v>0.98032055021611875</v>
      </c>
      <c r="G47">
        <v>48355040491.849609</v>
      </c>
      <c r="H47">
        <v>-5.3745367318774884E-3</v>
      </c>
      <c r="I47">
        <v>39912618464.874023</v>
      </c>
      <c r="J47">
        <v>-1.542447787736018E-2</v>
      </c>
      <c r="K47">
        <v>-43852409044.105957</v>
      </c>
      <c r="L47">
        <v>-0.79830131935495352</v>
      </c>
    </row>
    <row r="48" spans="1:12" x14ac:dyDescent="0.25">
      <c r="A48">
        <v>3654107074.7868652</v>
      </c>
      <c r="B48">
        <v>-2.1385310288581288E-2</v>
      </c>
      <c r="C48">
        <v>36369359043.578117</v>
      </c>
      <c r="D48">
        <v>-1.344073062648374E-3</v>
      </c>
      <c r="E48">
        <v>2825109458.171082</v>
      </c>
      <c r="F48">
        <v>1.336882092040302</v>
      </c>
      <c r="G48">
        <v>43035029961.930183</v>
      </c>
      <c r="H48">
        <v>-1.7408178519579511E-2</v>
      </c>
      <c r="I48">
        <v>-215606659246.16599</v>
      </c>
      <c r="J48">
        <v>-4.2672976234170878E-2</v>
      </c>
      <c r="K48">
        <v>-237747207310.21091</v>
      </c>
      <c r="L48">
        <v>0.50833761424371282</v>
      </c>
    </row>
    <row r="49" spans="1:12" x14ac:dyDescent="0.25">
      <c r="A49">
        <v>-112805675.4193726</v>
      </c>
      <c r="B49">
        <v>-3.4303764556727401E-2</v>
      </c>
      <c r="C49">
        <v>37701928479.407959</v>
      </c>
      <c r="D49">
        <v>3.1240802080853142E-3</v>
      </c>
      <c r="E49">
        <v>8537099829.1783142</v>
      </c>
      <c r="F49">
        <v>0.64914780073637957</v>
      </c>
      <c r="G49">
        <v>39940234013.708008</v>
      </c>
      <c r="H49">
        <v>-4.6460124415704879E-2</v>
      </c>
      <c r="I49">
        <v>253702356145.41501</v>
      </c>
      <c r="J49">
        <v>-4.4527140763122031E-2</v>
      </c>
      <c r="K49">
        <v>-88254519857.994141</v>
      </c>
      <c r="L49">
        <v>1.298328509729791</v>
      </c>
    </row>
    <row r="50" spans="1:12" x14ac:dyDescent="0.25">
      <c r="A50">
        <v>1660980246.7276001</v>
      </c>
      <c r="B50">
        <v>-1.549536113953459E-2</v>
      </c>
      <c r="C50">
        <v>-95293232996.989014</v>
      </c>
      <c r="D50">
        <v>1.1176043015179689E-2</v>
      </c>
      <c r="E50">
        <v>1173919796.900085</v>
      </c>
      <c r="F50">
        <v>-1.015104314177012</v>
      </c>
      <c r="G50">
        <v>50258620898.802727</v>
      </c>
      <c r="H50">
        <v>3.1956369430842603E-2</v>
      </c>
      <c r="I50">
        <v>-20765540850.354</v>
      </c>
      <c r="J50">
        <v>0.18726598401024749</v>
      </c>
      <c r="K50">
        <v>721228629885.76611</v>
      </c>
      <c r="L50">
        <v>-0.83654929426949032</v>
      </c>
    </row>
    <row r="51" spans="1:12" x14ac:dyDescent="0.25">
      <c r="A51">
        <v>-12160382977.89185</v>
      </c>
      <c r="B51">
        <v>8.8493631428154779E-2</v>
      </c>
      <c r="C51">
        <v>-25938369519.193119</v>
      </c>
      <c r="D51">
        <v>-1.404726531688244E-2</v>
      </c>
      <c r="E51">
        <v>-19584800877.718781</v>
      </c>
      <c r="F51">
        <v>-0.24303896812545919</v>
      </c>
      <c r="G51">
        <v>34340826088.606449</v>
      </c>
      <c r="H51">
        <v>3.4723906608241289E-2</v>
      </c>
      <c r="I51">
        <v>-331249508257.396</v>
      </c>
      <c r="J51">
        <v>-1.3500147327457249E-2</v>
      </c>
      <c r="K51">
        <v>-207015593534.58011</v>
      </c>
      <c r="L51">
        <v>-0.88060455333334708</v>
      </c>
    </row>
    <row r="52" spans="1:12" x14ac:dyDescent="0.25">
      <c r="A52">
        <v>15997202682.853331</v>
      </c>
      <c r="B52">
        <v>0.11694142238134</v>
      </c>
      <c r="C52">
        <v>-43520352963.405029</v>
      </c>
      <c r="D52">
        <v>1.206990348950363E-2</v>
      </c>
      <c r="E52">
        <v>7966323149.3201904</v>
      </c>
      <c r="F52">
        <v>-0.17212930140131991</v>
      </c>
      <c r="G52">
        <v>45981111894.420898</v>
      </c>
      <c r="H52">
        <v>-2.0889391385869701E-2</v>
      </c>
      <c r="I52">
        <v>455117456376.33301</v>
      </c>
      <c r="J52">
        <v>8.7397089013375617E-2</v>
      </c>
      <c r="K52">
        <v>562650173047.63306</v>
      </c>
      <c r="L52">
        <v>0.25582087933675268</v>
      </c>
    </row>
    <row r="53" spans="1:12" x14ac:dyDescent="0.25">
      <c r="A53">
        <v>4216362177.2817378</v>
      </c>
      <c r="B53">
        <v>-0.17319082209562689</v>
      </c>
      <c r="C53">
        <v>64441886508.301033</v>
      </c>
      <c r="D53">
        <v>-1.6659683867930111E-2</v>
      </c>
      <c r="E53">
        <v>-10758363868.864611</v>
      </c>
      <c r="F53">
        <v>1.7333722632343811</v>
      </c>
      <c r="G53">
        <v>45149609989.893066</v>
      </c>
      <c r="H53">
        <v>-2.3866964381202199E-2</v>
      </c>
      <c r="I53">
        <v>-69290610317.100098</v>
      </c>
      <c r="J53">
        <v>-3.8357947231537182E-2</v>
      </c>
      <c r="K53">
        <v>-189460990993.53809</v>
      </c>
      <c r="L53">
        <v>0.529664364654165</v>
      </c>
    </row>
    <row r="54" spans="1:12" x14ac:dyDescent="0.25">
      <c r="A54">
        <v>306455298.21252441</v>
      </c>
      <c r="B54">
        <v>-3.1755223439058511E-2</v>
      </c>
      <c r="C54">
        <v>82058970160.337158</v>
      </c>
      <c r="D54">
        <v>1.2784990432637281E-3</v>
      </c>
      <c r="E54">
        <v>11221180949.76399</v>
      </c>
      <c r="F54">
        <v>1.4602470169562589</v>
      </c>
      <c r="G54">
        <v>35558061882.318848</v>
      </c>
      <c r="H54">
        <v>2.84142443966309E-2</v>
      </c>
      <c r="I54">
        <v>-91897094766.565918</v>
      </c>
      <c r="J54">
        <v>3.5837016910944541E-4</v>
      </c>
      <c r="K54">
        <v>-46013414182.25708</v>
      </c>
      <c r="L54">
        <v>-1.1946985253409339</v>
      </c>
    </row>
    <row r="55" spans="1:12" x14ac:dyDescent="0.25">
      <c r="A55">
        <v>2115920415.382812</v>
      </c>
      <c r="B55">
        <v>1.9151759568025171E-3</v>
      </c>
      <c r="C55">
        <v>260342670287.728</v>
      </c>
      <c r="D55">
        <v>3.0724784539128521E-2</v>
      </c>
      <c r="E55">
        <v>77164798108.784607</v>
      </c>
      <c r="F55">
        <v>-0.25869725415287093</v>
      </c>
      <c r="G55">
        <v>41672478895.039551</v>
      </c>
      <c r="H55">
        <v>-5.7500169853449988E-2</v>
      </c>
      <c r="I55">
        <v>143539428150.66159</v>
      </c>
      <c r="J55">
        <v>-0.12694564779432119</v>
      </c>
      <c r="K55">
        <v>-432444949293.26489</v>
      </c>
      <c r="L55">
        <v>0.50082819508510212</v>
      </c>
    </row>
    <row r="56" spans="1:12" x14ac:dyDescent="0.25">
      <c r="A56">
        <v>2309925326.417542</v>
      </c>
      <c r="B56">
        <v>3.1158923886639989E-4</v>
      </c>
      <c r="C56">
        <v>6752492354.6428223</v>
      </c>
      <c r="D56">
        <v>-1.345481846686347E-2</v>
      </c>
      <c r="E56">
        <v>-19351701373.8699</v>
      </c>
      <c r="F56">
        <v>1.4987216626236199</v>
      </c>
      <c r="G56">
        <v>51458961265.084961</v>
      </c>
      <c r="H56">
        <v>1.1286110298042801E-2</v>
      </c>
      <c r="I56">
        <v>794707558800.92969</v>
      </c>
      <c r="J56">
        <v>0.26142359189732539</v>
      </c>
      <c r="K56">
        <v>1560086366513.51</v>
      </c>
      <c r="L56">
        <v>-0.26122766113095253</v>
      </c>
    </row>
    <row r="57" spans="1:12" x14ac:dyDescent="0.25">
      <c r="A57">
        <v>3833529385.1532588</v>
      </c>
      <c r="B57">
        <v>-2.5199151963926081E-3</v>
      </c>
      <c r="C57">
        <v>33154122645.105961</v>
      </c>
      <c r="D57">
        <v>-1.7492237537883652E-2</v>
      </c>
      <c r="E57">
        <v>-22544566494.074982</v>
      </c>
      <c r="F57">
        <v>-4.8316996884587127E-2</v>
      </c>
      <c r="G57">
        <v>34957437732.713379</v>
      </c>
      <c r="H57">
        <v>4.3228874596188287E-2</v>
      </c>
      <c r="I57">
        <v>1267180776463.8579</v>
      </c>
      <c r="J57">
        <v>0.25040503909328948</v>
      </c>
      <c r="K57">
        <v>2339792791696.4238</v>
      </c>
      <c r="L57">
        <v>0.56621020455941462</v>
      </c>
    </row>
    <row r="58" spans="1:12" x14ac:dyDescent="0.25">
      <c r="A58">
        <v>-963956483.29608154</v>
      </c>
      <c r="B58">
        <v>2.3132207071191489E-2</v>
      </c>
      <c r="C58">
        <v>84105088961.976074</v>
      </c>
      <c r="D58">
        <v>1.95969675400578E-2</v>
      </c>
      <c r="E58">
        <v>41909332739.928886</v>
      </c>
      <c r="F58">
        <v>-0.31137620214508033</v>
      </c>
      <c r="G58">
        <v>35578876765.390137</v>
      </c>
      <c r="H58">
        <v>-3.2493994981651481E-2</v>
      </c>
      <c r="I58">
        <v>1614373809015.3601</v>
      </c>
      <c r="J58">
        <v>-3.5172636240448529E-2</v>
      </c>
      <c r="K58">
        <v>1184821259506.5281</v>
      </c>
      <c r="L58">
        <v>1.060430110784941</v>
      </c>
    </row>
    <row r="59" spans="1:12" x14ac:dyDescent="0.25">
      <c r="A59">
        <v>10749613545.781191</v>
      </c>
      <c r="B59">
        <v>1.732557172038221E-2</v>
      </c>
      <c r="C59">
        <v>-30365388607.397949</v>
      </c>
      <c r="D59">
        <v>-1.416084670452354E-2</v>
      </c>
      <c r="E59">
        <v>-26848867228.542301</v>
      </c>
      <c r="F59">
        <v>0.63550272291248788</v>
      </c>
      <c r="G59">
        <v>36819355619.98584</v>
      </c>
      <c r="H59">
        <v>0.1123146960882792</v>
      </c>
      <c r="I59">
        <v>1760013157255.5481</v>
      </c>
      <c r="J59">
        <v>0.8138861163998824</v>
      </c>
      <c r="K59">
        <v>9195737182131.5918</v>
      </c>
      <c r="L59">
        <v>0.5402776770649993</v>
      </c>
    </row>
    <row r="60" spans="1:12" x14ac:dyDescent="0.25">
      <c r="A60">
        <v>16864358201.718691</v>
      </c>
      <c r="B60">
        <v>3.8749360595988797E-2</v>
      </c>
      <c r="C60">
        <v>-136821541132.21091</v>
      </c>
      <c r="D60">
        <v>1.560523917620839E-2</v>
      </c>
      <c r="E60">
        <v>5893375168.5914917</v>
      </c>
      <c r="F60">
        <v>0.60094264875198178</v>
      </c>
      <c r="G60">
        <v>36275538765.551758</v>
      </c>
      <c r="H60">
        <v>7.4652740681570795E-2</v>
      </c>
      <c r="I60">
        <v>-2708612827588.6479</v>
      </c>
      <c r="J60">
        <v>-0.24175238038360661</v>
      </c>
      <c r="K60">
        <v>-6173576145869.4629</v>
      </c>
      <c r="L60">
        <v>-2.8363576790025111</v>
      </c>
    </row>
    <row r="61" spans="1:12" x14ac:dyDescent="0.25">
      <c r="A61">
        <v>-10550670463.38159</v>
      </c>
      <c r="B61">
        <v>-8.8179642478708187E-2</v>
      </c>
      <c r="C61">
        <v>24285251867.811039</v>
      </c>
      <c r="D61">
        <v>-2.3747701078757288E-2</v>
      </c>
      <c r="E61">
        <v>-31940459307.793301</v>
      </c>
      <c r="F61">
        <v>0.2201107635853283</v>
      </c>
      <c r="G61">
        <v>34836814167.04541</v>
      </c>
      <c r="H61">
        <v>-0.14654107947524239</v>
      </c>
      <c r="I61">
        <v>1789820684877.325</v>
      </c>
      <c r="J61">
        <v>-0.3892830940513885</v>
      </c>
      <c r="K61">
        <v>-738243636603.33984</v>
      </c>
      <c r="L61">
        <v>0.79359541668221745</v>
      </c>
    </row>
    <row r="62" spans="1:12" x14ac:dyDescent="0.25">
      <c r="A62">
        <v>7663788336.9546509</v>
      </c>
      <c r="B62">
        <v>8.1220033375524497E-2</v>
      </c>
      <c r="C62">
        <v>-46780862223.77002</v>
      </c>
      <c r="D62">
        <v>1.3656476380122099E-2</v>
      </c>
      <c r="E62">
        <v>14264556331.751011</v>
      </c>
      <c r="F62">
        <v>-0.59713992214533818</v>
      </c>
      <c r="G62">
        <v>30395990362.838871</v>
      </c>
      <c r="H62">
        <v>9.284073777236701E-2</v>
      </c>
      <c r="I62">
        <v>-1358915741040.3899</v>
      </c>
      <c r="J62">
        <v>-0.34150997932335481</v>
      </c>
      <c r="K62">
        <v>-3866320688109.3208</v>
      </c>
      <c r="L62">
        <v>1.150543140688294</v>
      </c>
    </row>
    <row r="63" spans="1:12" x14ac:dyDescent="0.25">
      <c r="A63">
        <v>9738890254.5437012</v>
      </c>
      <c r="B63">
        <v>-6.7523720763116302E-2</v>
      </c>
      <c r="C63">
        <v>87093223106.649902</v>
      </c>
      <c r="D63">
        <v>-8.7861074688920238E-3</v>
      </c>
      <c r="E63">
        <v>-2159831219.7200012</v>
      </c>
      <c r="F63">
        <v>0.497038736470099</v>
      </c>
      <c r="G63">
        <v>57163028464.657227</v>
      </c>
      <c r="H63">
        <v>-0.1143799810663723</v>
      </c>
      <c r="I63">
        <v>161843425288.66891</v>
      </c>
      <c r="J63">
        <v>-1.4684967529001719E-2</v>
      </c>
      <c r="K63">
        <v>7087987069.9355469</v>
      </c>
      <c r="L63">
        <v>-9.3917802277051265E-2</v>
      </c>
    </row>
    <row r="64" spans="1:12" x14ac:dyDescent="0.25">
      <c r="A64">
        <v>11231805422.060301</v>
      </c>
      <c r="B64">
        <v>-2.3562102124497299E-2</v>
      </c>
      <c r="C64">
        <v>63035623172.51001</v>
      </c>
      <c r="D64">
        <v>2.1387645426094639E-2</v>
      </c>
      <c r="E64">
        <v>41625099511.655792</v>
      </c>
      <c r="F64">
        <v>1.2314123511556689</v>
      </c>
      <c r="G64">
        <v>63523365083.56543</v>
      </c>
      <c r="H64">
        <v>-1.963847750677428E-2</v>
      </c>
      <c r="I64">
        <v>331263813166</v>
      </c>
      <c r="J64">
        <v>-2.7113585428427341E-2</v>
      </c>
      <c r="K64">
        <v>22182388149.24902</v>
      </c>
      <c r="L64">
        <v>3.8146848069866111</v>
      </c>
    </row>
    <row r="65" spans="1:12" x14ac:dyDescent="0.25">
      <c r="A65">
        <v>9217453089.8954468</v>
      </c>
      <c r="B65">
        <v>4.6314115419651997E-2</v>
      </c>
      <c r="C65">
        <v>-53227816067.531982</v>
      </c>
      <c r="D65">
        <v>-9.7413561297479967E-3</v>
      </c>
      <c r="E65">
        <v>-22534310441.26041</v>
      </c>
      <c r="F65">
        <v>-1.493912331915197</v>
      </c>
      <c r="G65">
        <v>72269655293.069336</v>
      </c>
      <c r="H65">
        <v>-1.2253077663527319E-2</v>
      </c>
      <c r="I65">
        <v>315672247818.76563</v>
      </c>
      <c r="J65">
        <v>-4.8101430936564833E-2</v>
      </c>
      <c r="K65">
        <v>-172740493281.5488</v>
      </c>
      <c r="L65">
        <v>-1.0767505817563201</v>
      </c>
    </row>
    <row r="66" spans="1:12" x14ac:dyDescent="0.25">
      <c r="A66">
        <v>14801327631.200871</v>
      </c>
      <c r="B66">
        <v>-6.7425390649503703E-2</v>
      </c>
      <c r="C66">
        <v>267823213539.7449</v>
      </c>
      <c r="D66">
        <v>1.9820942186568661E-2</v>
      </c>
      <c r="E66">
        <v>71192507137.766815</v>
      </c>
      <c r="F66">
        <v>2.7569767898262678</v>
      </c>
      <c r="G66">
        <v>83973824746.084473</v>
      </c>
      <c r="H66">
        <v>-2.2457083478478999E-2</v>
      </c>
      <c r="I66">
        <v>415561245101.49219</v>
      </c>
      <c r="J66">
        <v>-0.12546792226569661</v>
      </c>
      <c r="K66">
        <v>-794047877585.19629</v>
      </c>
      <c r="L66">
        <v>1.71835535466821</v>
      </c>
    </row>
    <row r="67" spans="1:12" x14ac:dyDescent="0.25">
      <c r="A67">
        <v>4330719719.4945068</v>
      </c>
      <c r="B67">
        <v>-5.9291790309111969E-3</v>
      </c>
      <c r="C67">
        <v>14402881736.599119</v>
      </c>
      <c r="D67">
        <v>-8.0433142964628224E-3</v>
      </c>
      <c r="E67">
        <v>-12448708560.328609</v>
      </c>
      <c r="F67">
        <v>-0.93424045133544809</v>
      </c>
      <c r="G67">
        <v>68955290532.081543</v>
      </c>
      <c r="H67">
        <v>-7.5975958408092958E-3</v>
      </c>
      <c r="I67">
        <v>-60293840764.364258</v>
      </c>
      <c r="J67">
        <v>-6.9896524747276589E-3</v>
      </c>
      <c r="K67">
        <v>-87752042884.013184</v>
      </c>
      <c r="L67">
        <v>0.29977601281182048</v>
      </c>
    </row>
    <row r="68" spans="1:12" x14ac:dyDescent="0.25">
      <c r="A68">
        <v>12583737488.52393</v>
      </c>
      <c r="B68">
        <v>1.45500132245508E-2</v>
      </c>
      <c r="C68">
        <v>45450021328.301033</v>
      </c>
      <c r="D68">
        <v>4.4232632787163939E-3</v>
      </c>
      <c r="E68">
        <v>14794680056.23984</v>
      </c>
      <c r="F68">
        <v>0.88066674414166712</v>
      </c>
      <c r="G68">
        <v>65883454786.489258</v>
      </c>
      <c r="H68">
        <v>2.945391492734958E-2</v>
      </c>
      <c r="I68">
        <v>515674295066.14648</v>
      </c>
      <c r="J68">
        <v>9.6873294892062645E-2</v>
      </c>
      <c r="K68">
        <v>1105208258396.2791</v>
      </c>
      <c r="L68">
        <v>0.34303026716544949</v>
      </c>
    </row>
    <row r="69" spans="1:12" x14ac:dyDescent="0.25">
      <c r="A69">
        <v>11374530900.835079</v>
      </c>
      <c r="B69">
        <v>-4.7472633248756002E-3</v>
      </c>
      <c r="C69">
        <v>243979228916.52289</v>
      </c>
      <c r="D69">
        <v>-9.9753350391584839E-5</v>
      </c>
      <c r="E69">
        <v>35995580826.197746</v>
      </c>
      <c r="F69">
        <v>0.86444923361328208</v>
      </c>
      <c r="G69">
        <v>53829725926.86377</v>
      </c>
      <c r="H69">
        <v>1.6304768964165019E-2</v>
      </c>
      <c r="I69">
        <v>-98990565457.986328</v>
      </c>
      <c r="J69">
        <v>-0.10109597141740941</v>
      </c>
      <c r="K69">
        <v>-940078770653.35693</v>
      </c>
      <c r="L69">
        <v>0.1881359813204497</v>
      </c>
    </row>
    <row r="70" spans="1:12" x14ac:dyDescent="0.25">
      <c r="A70">
        <v>8778666827.68396</v>
      </c>
      <c r="B70">
        <v>2.9236299128259119E-2</v>
      </c>
      <c r="C70">
        <v>-117521706603.1279</v>
      </c>
      <c r="D70">
        <v>1.5626284091006439E-2</v>
      </c>
      <c r="E70">
        <v>13696647480.104919</v>
      </c>
      <c r="F70">
        <v>-1.0392628126192991</v>
      </c>
      <c r="G70">
        <v>62921675254.210449</v>
      </c>
      <c r="H70">
        <v>8.1556071387553802E-2</v>
      </c>
      <c r="I70">
        <v>-227888333639.93851</v>
      </c>
      <c r="J70">
        <v>2.522808775753255E-2</v>
      </c>
      <c r="K70">
        <v>104967408341.895</v>
      </c>
      <c r="L70">
        <v>-0.6900655578821393</v>
      </c>
    </row>
    <row r="71" spans="1:12" x14ac:dyDescent="0.25">
      <c r="A71">
        <v>10556989584.536249</v>
      </c>
      <c r="B71">
        <v>-8.8789998374543266E-3</v>
      </c>
      <c r="C71">
        <v>48583892687.815918</v>
      </c>
      <c r="D71">
        <v>-1.766587469800637E-2</v>
      </c>
      <c r="E71">
        <v>-28081602884.155521</v>
      </c>
      <c r="F71">
        <v>-0.3771410034602134</v>
      </c>
      <c r="G71">
        <v>51817466776.975098</v>
      </c>
      <c r="H71">
        <v>-5.6853986043616113E-2</v>
      </c>
      <c r="I71">
        <v>-789169203316.62598</v>
      </c>
      <c r="J71">
        <v>-2.478456662277961E-2</v>
      </c>
      <c r="K71">
        <v>-590278827449.58301</v>
      </c>
      <c r="L71">
        <v>-1.245061696498031</v>
      </c>
    </row>
    <row r="72" spans="1:12" x14ac:dyDescent="0.25">
      <c r="A72">
        <v>132844553.7626953</v>
      </c>
      <c r="B72">
        <v>1.4845304695814019E-2</v>
      </c>
      <c r="C72">
        <v>-105426328251.21091</v>
      </c>
      <c r="D72">
        <v>1.024023257966508E-2</v>
      </c>
      <c r="E72">
        <v>4395219513.4700928</v>
      </c>
      <c r="F72">
        <v>0.49961116917460302</v>
      </c>
      <c r="G72">
        <v>49502804198.558113</v>
      </c>
      <c r="H72">
        <v>2.567594611939009E-2</v>
      </c>
      <c r="I72">
        <v>-334824154733.11719</v>
      </c>
      <c r="J72">
        <v>-8.3239839622271883E-2</v>
      </c>
      <c r="K72">
        <v>-775143120945.25098</v>
      </c>
      <c r="L72">
        <v>-1.25287149242299</v>
      </c>
    </row>
    <row r="73" spans="1:12" x14ac:dyDescent="0.25">
      <c r="A73">
        <v>5435314547.7171631</v>
      </c>
      <c r="B73">
        <v>6.975270331981348E-2</v>
      </c>
      <c r="C73">
        <v>19401892802.217041</v>
      </c>
      <c r="D73">
        <v>-1.0155549944353141E-2</v>
      </c>
      <c r="E73">
        <v>-16811523054.37219</v>
      </c>
      <c r="F73">
        <v>-0.54792816605918304</v>
      </c>
      <c r="G73">
        <v>48157148775.172363</v>
      </c>
      <c r="H73">
        <v>5.0452456547051723E-2</v>
      </c>
      <c r="I73">
        <v>-824938352149.51367</v>
      </c>
      <c r="J73">
        <v>2.491957523437122E-2</v>
      </c>
      <c r="K73">
        <v>-164823666251.73489</v>
      </c>
      <c r="L73">
        <v>-0.83174326600796888</v>
      </c>
    </row>
    <row r="74" spans="1:12" x14ac:dyDescent="0.25">
      <c r="A74">
        <v>-6612869543.7607422</v>
      </c>
      <c r="B74">
        <v>-9.2021497923237883E-2</v>
      </c>
      <c r="C74">
        <v>23694918004.234859</v>
      </c>
      <c r="D74">
        <v>-6.0356056761431964E-4</v>
      </c>
      <c r="E74">
        <v>2273696667.531189</v>
      </c>
      <c r="F74">
        <v>1.471095972275251</v>
      </c>
      <c r="G74">
        <v>225746785824.6221</v>
      </c>
      <c r="H74">
        <v>-6.9385947005699916E-2</v>
      </c>
      <c r="I74">
        <v>1845978875002.1421</v>
      </c>
      <c r="J74">
        <v>0.18324168488129469</v>
      </c>
      <c r="K74">
        <v>2319176741747.6602</v>
      </c>
      <c r="L74">
        <v>1.7311714300322389</v>
      </c>
    </row>
    <row r="75" spans="1:12" x14ac:dyDescent="0.25">
      <c r="A75">
        <v>918583885.14611816</v>
      </c>
      <c r="B75">
        <v>4.1826371053596101E-2</v>
      </c>
      <c r="C75">
        <v>-5783260382.9770508</v>
      </c>
      <c r="D75">
        <v>-3.0128182770719492E-3</v>
      </c>
      <c r="E75">
        <v>-6785033724.9953003</v>
      </c>
      <c r="F75">
        <v>-0.28128992399241781</v>
      </c>
      <c r="G75">
        <v>-156096268896.2178</v>
      </c>
      <c r="H75">
        <v>-1.51355391450339E-2</v>
      </c>
      <c r="I75">
        <v>-408678063064.08502</v>
      </c>
      <c r="J75">
        <v>5.5744071802252049E-2</v>
      </c>
      <c r="K75">
        <v>197767946258.22949</v>
      </c>
      <c r="L75">
        <v>-0.64480879175289019</v>
      </c>
    </row>
    <row r="76" spans="1:12" x14ac:dyDescent="0.25">
      <c r="A76">
        <v>-3413021600.0915532</v>
      </c>
      <c r="B76">
        <v>3.7183280530974798E-2</v>
      </c>
      <c r="C76">
        <v>-100011099454.136</v>
      </c>
      <c r="D76">
        <v>8.9578503515980457E-3</v>
      </c>
      <c r="E76">
        <v>2497423338.2840581</v>
      </c>
      <c r="F76">
        <v>-1.537084463390769</v>
      </c>
      <c r="G76">
        <v>32201921135.297852</v>
      </c>
      <c r="H76">
        <v>-1.025754942175458E-2</v>
      </c>
      <c r="I76">
        <v>55035151579.200203</v>
      </c>
      <c r="J76">
        <v>-0.1051088453784164</v>
      </c>
      <c r="K76">
        <v>-809173552267.75195</v>
      </c>
      <c r="L76">
        <v>2.8235416036380911E-2</v>
      </c>
    </row>
    <row r="77" spans="1:12" x14ac:dyDescent="0.25">
      <c r="A77">
        <v>-5071033487.4876709</v>
      </c>
      <c r="B77">
        <v>-9.9444845067581014E-2</v>
      </c>
      <c r="C77">
        <v>62116115346.750977</v>
      </c>
      <c r="D77">
        <v>5.0263763653099758E-3</v>
      </c>
      <c r="E77">
        <v>19145113443.477169</v>
      </c>
      <c r="F77">
        <v>2.923290156417409</v>
      </c>
      <c r="G77">
        <v>-51276172115.609863</v>
      </c>
      <c r="H77">
        <v>-2.9705951325493422E-2</v>
      </c>
      <c r="I77">
        <v>526304511374.96973</v>
      </c>
      <c r="J77">
        <v>-9.2716786702656651E-2</v>
      </c>
      <c r="K77">
        <v>-501784881402.90039</v>
      </c>
      <c r="L77">
        <v>1.13272078588518</v>
      </c>
    </row>
    <row r="78" spans="1:12" x14ac:dyDescent="0.25">
      <c r="A78">
        <v>-5450845158.3652344</v>
      </c>
      <c r="B78">
        <v>0.40494117218486569</v>
      </c>
      <c r="C78">
        <v>-524412618626.85992</v>
      </c>
      <c r="D78">
        <v>8.8779262408979709E-2</v>
      </c>
      <c r="E78">
        <v>42996891913.615784</v>
      </c>
      <c r="F78">
        <v>-8.2180277316861918</v>
      </c>
      <c r="G78">
        <v>50463011212.617188</v>
      </c>
      <c r="H78">
        <v>0.18490951967474761</v>
      </c>
      <c r="I78">
        <v>-569315683878.27246</v>
      </c>
      <c r="J78">
        <v>0.42453914306976281</v>
      </c>
      <c r="K78">
        <v>3133044072463.96</v>
      </c>
      <c r="L78">
        <v>-1.5052881017411599</v>
      </c>
    </row>
    <row r="79" spans="1:12" x14ac:dyDescent="0.25">
      <c r="A79">
        <v>-96122138674.753113</v>
      </c>
      <c r="B79">
        <v>-0.17700875983786091</v>
      </c>
      <c r="C79">
        <v>306708424789.8501</v>
      </c>
      <c r="D79">
        <v>3.0866583692975009E-3</v>
      </c>
      <c r="E79">
        <v>80592817208.040894</v>
      </c>
      <c r="F79">
        <v>6.0715004071285614</v>
      </c>
      <c r="G79">
        <v>-59525985088.243156</v>
      </c>
      <c r="H79">
        <v>-0.1092965207896175</v>
      </c>
      <c r="I79">
        <v>1407575707761.2141</v>
      </c>
      <c r="J79">
        <v>-0.2879112648214539</v>
      </c>
      <c r="K79">
        <v>-1458652067402.4209</v>
      </c>
      <c r="L79">
        <v>2.4050166425317698</v>
      </c>
    </row>
    <row r="80" spans="1:12" x14ac:dyDescent="0.25">
      <c r="A80">
        <v>62741969034.67572</v>
      </c>
      <c r="B80">
        <v>-0.1535341178660784</v>
      </c>
      <c r="C80">
        <v>154725278773.28589</v>
      </c>
      <c r="D80">
        <v>1.4107840563260921E-2</v>
      </c>
      <c r="E80">
        <v>64862930926.513786</v>
      </c>
      <c r="F80">
        <v>4.6006281246536922</v>
      </c>
      <c r="G80">
        <v>194898965815.84909</v>
      </c>
      <c r="H80">
        <v>3.9938670746903798E-2</v>
      </c>
      <c r="I80">
        <v>1022925398567.809</v>
      </c>
      <c r="J80">
        <v>0.36229917263469991</v>
      </c>
      <c r="K80">
        <v>4393848198260.7642</v>
      </c>
      <c r="L80">
        <v>3.8752607881994088</v>
      </c>
    </row>
    <row r="81" spans="1:12" x14ac:dyDescent="0.25">
      <c r="A81">
        <v>42205223567.319817</v>
      </c>
      <c r="B81">
        <v>-3.3525287282089117E-2</v>
      </c>
      <c r="C81">
        <v>356788905889.81488</v>
      </c>
      <c r="D81">
        <v>-4.8847982068191687E-2</v>
      </c>
      <c r="E81">
        <v>-15120812884.7157</v>
      </c>
      <c r="F81">
        <v>3.599761666271629</v>
      </c>
      <c r="G81">
        <v>78644322893.984863</v>
      </c>
      <c r="H81">
        <v>-5.8115215481791521E-2</v>
      </c>
      <c r="I81">
        <v>1078314231836.3199</v>
      </c>
      <c r="J81">
        <v>-0.35579828943385888</v>
      </c>
      <c r="K81">
        <v>-3057336655737.207</v>
      </c>
      <c r="L81">
        <v>1.487565872526829</v>
      </c>
    </row>
    <row r="82" spans="1:12" x14ac:dyDescent="0.25">
      <c r="A82">
        <v>14394651560.153561</v>
      </c>
      <c r="B82">
        <v>6.8969644598202817E-2</v>
      </c>
      <c r="C82">
        <v>202333081845.00201</v>
      </c>
      <c r="D82">
        <v>2.1451288991093082E-2</v>
      </c>
      <c r="E82">
        <v>95404667551.429321</v>
      </c>
      <c r="F82">
        <v>-0.26834946903976942</v>
      </c>
      <c r="G82">
        <v>327658968291.99072</v>
      </c>
      <c r="H82">
        <v>9.3621588448557391E-2</v>
      </c>
      <c r="I82">
        <v>-356556711270.68951</v>
      </c>
      <c r="J82">
        <v>9.4048586833924364E-2</v>
      </c>
      <c r="K82">
        <v>832618042650.28516</v>
      </c>
      <c r="L82">
        <v>-1.854726406588618</v>
      </c>
    </row>
    <row r="83" spans="1:12" x14ac:dyDescent="0.25">
      <c r="A83">
        <v>8199631366.9287109</v>
      </c>
      <c r="B83">
        <v>-6.3819814537597414E-2</v>
      </c>
      <c r="C83">
        <v>260758221963.71091</v>
      </c>
      <c r="D83">
        <v>-2.730927857900381E-2</v>
      </c>
      <c r="E83">
        <v>-12144340802.44739</v>
      </c>
      <c r="F83">
        <v>0.89258941050253782</v>
      </c>
      <c r="G83">
        <v>-144672092886.7822</v>
      </c>
      <c r="H83">
        <v>-0.12376495915836951</v>
      </c>
      <c r="I83">
        <v>1216101194882.719</v>
      </c>
      <c r="J83">
        <v>-9.1116537235413131E-2</v>
      </c>
      <c r="K83">
        <v>-274649667210.0264</v>
      </c>
      <c r="L83">
        <v>1.82899413027177</v>
      </c>
    </row>
    <row r="84" spans="1:12" x14ac:dyDescent="0.25">
      <c r="A84">
        <v>12683052200.77002</v>
      </c>
      <c r="B84">
        <v>-3.5744513508106902E-2</v>
      </c>
      <c r="C84">
        <v>297180360818.76221</v>
      </c>
      <c r="D84">
        <v>-3.8328624075019607E-2</v>
      </c>
      <c r="E84">
        <v>-52737381201.597107</v>
      </c>
      <c r="F84">
        <v>3.050849265090712</v>
      </c>
      <c r="G84">
        <v>100840707965.17191</v>
      </c>
      <c r="H84">
        <v>0.14724494059504131</v>
      </c>
      <c r="I84">
        <v>37475153618.980469</v>
      </c>
      <c r="J84">
        <v>0.35037585264008608</v>
      </c>
      <c r="K84">
        <v>4370212444485.8682</v>
      </c>
      <c r="L84">
        <v>-5.388358685865521</v>
      </c>
    </row>
    <row r="85" spans="1:12" x14ac:dyDescent="0.25">
      <c r="A85">
        <v>17787000261.514771</v>
      </c>
      <c r="B85">
        <v>5.4626970193174203E-2</v>
      </c>
      <c r="C85">
        <v>14413212012.78516</v>
      </c>
      <c r="D85">
        <v>-4.5073199405690212E-4</v>
      </c>
      <c r="E85">
        <v>1091701144.0346069</v>
      </c>
      <c r="F85">
        <v>-1.33139050744068</v>
      </c>
      <c r="G85">
        <v>104947254696.08501</v>
      </c>
      <c r="H85">
        <v>-9.4521321034023664E-2</v>
      </c>
      <c r="I85">
        <v>587327845693.65039</v>
      </c>
      <c r="J85">
        <v>-0.22768542758348151</v>
      </c>
      <c r="K85">
        <v>-2394792928399.8398</v>
      </c>
      <c r="L85">
        <v>-0.78538511840212877</v>
      </c>
    </row>
    <row r="86" spans="1:12" x14ac:dyDescent="0.25">
      <c r="A86">
        <v>11925199737.695801</v>
      </c>
      <c r="B86">
        <v>8.4438381415580493E-2</v>
      </c>
      <c r="C86">
        <v>-22662188760.519039</v>
      </c>
      <c r="D86">
        <v>-1.335031925214447E-2</v>
      </c>
      <c r="E86">
        <v>-43621563918.29303</v>
      </c>
      <c r="F86">
        <v>-7.0426720445086586</v>
      </c>
      <c r="G86">
        <v>107983137961.2832</v>
      </c>
      <c r="H86">
        <v>0.25274828817090139</v>
      </c>
      <c r="I86">
        <v>-1667335961067.8611</v>
      </c>
      <c r="J86">
        <v>-5.9472251477808991E-3</v>
      </c>
      <c r="K86">
        <v>-1288808376935.408</v>
      </c>
      <c r="L86">
        <v>-0.61086621715598</v>
      </c>
    </row>
    <row r="87" spans="1:12" x14ac:dyDescent="0.25">
      <c r="A87">
        <v>50401648766.076538</v>
      </c>
      <c r="B87">
        <v>-4.2629327580735399E-2</v>
      </c>
      <c r="C87">
        <v>-299276186802.28912</v>
      </c>
      <c r="D87">
        <v>-3.7426932314697792E-3</v>
      </c>
      <c r="E87">
        <v>-56675961789.083191</v>
      </c>
      <c r="F87">
        <v>-3.7228693479171291</v>
      </c>
      <c r="G87">
        <v>-238403711786.87891</v>
      </c>
      <c r="H87">
        <v>-0.12941302758017881</v>
      </c>
      <c r="I87">
        <v>553038067266.49023</v>
      </c>
      <c r="J87">
        <v>-6.7479931707560503E-2</v>
      </c>
      <c r="K87">
        <v>-399860610546.51862</v>
      </c>
      <c r="L87">
        <v>-3.6846216671591492E-2</v>
      </c>
    </row>
    <row r="88" spans="1:12" x14ac:dyDescent="0.25">
      <c r="A88">
        <v>-35947066948.485718</v>
      </c>
      <c r="B88">
        <v>-4.326313828015349E-2</v>
      </c>
      <c r="C88">
        <v>267160521568.1709</v>
      </c>
      <c r="D88">
        <v>-1.4009038133651289E-2</v>
      </c>
      <c r="E88">
        <v>-663519544.07196045</v>
      </c>
      <c r="F88">
        <v>2.4268106444482882</v>
      </c>
      <c r="G88">
        <v>165756949581.9263</v>
      </c>
      <c r="H88">
        <v>-0.11748329299862061</v>
      </c>
      <c r="I88">
        <v>-1286556623337.6599</v>
      </c>
      <c r="J88">
        <v>0.12585686486834791</v>
      </c>
      <c r="K88">
        <v>485324550925.91803</v>
      </c>
      <c r="L88">
        <v>-2.186442482221739</v>
      </c>
    </row>
    <row r="89" spans="1:12" x14ac:dyDescent="0.25">
      <c r="A89">
        <v>-183815548.78991699</v>
      </c>
      <c r="B89">
        <v>-2.03926636353686E-2</v>
      </c>
      <c r="C89">
        <v>68788781256.453125</v>
      </c>
      <c r="D89">
        <v>-1.4066540176875159E-2</v>
      </c>
      <c r="E89">
        <v>-32937952325.869202</v>
      </c>
      <c r="F89">
        <v>0.40834573061484042</v>
      </c>
      <c r="G89">
        <v>16201263446.697269</v>
      </c>
      <c r="H89">
        <v>0.21665709350480111</v>
      </c>
      <c r="I89">
        <v>382035476682.08978</v>
      </c>
      <c r="J89">
        <v>-0.14479925066770799</v>
      </c>
      <c r="K89">
        <v>-1289448570377.74</v>
      </c>
      <c r="L89">
        <v>2.0377559828811989</v>
      </c>
    </row>
    <row r="90" spans="1:12" x14ac:dyDescent="0.25">
      <c r="A90">
        <v>12809591771.390141</v>
      </c>
      <c r="B90">
        <v>-1.679557210101509E-2</v>
      </c>
      <c r="C90">
        <v>-268745476951.061</v>
      </c>
      <c r="D90">
        <v>1.2063875824092211E-3</v>
      </c>
      <c r="E90">
        <v>-30017387451.401611</v>
      </c>
      <c r="F90">
        <v>-3.0210425991885401</v>
      </c>
      <c r="G90">
        <v>185405026240.34769</v>
      </c>
      <c r="H90">
        <v>-0.1685331504912303</v>
      </c>
      <c r="I90">
        <v>820929774784.4707</v>
      </c>
      <c r="J90">
        <v>-2.7840311321518318E-2</v>
      </c>
      <c r="K90">
        <v>197123595792.78421</v>
      </c>
      <c r="L90">
        <v>0.60005265356757143</v>
      </c>
    </row>
    <row r="91" spans="1:12" x14ac:dyDescent="0.25">
      <c r="A91">
        <v>34232257881.370609</v>
      </c>
      <c r="B91">
        <v>-5.2996867807487719E-2</v>
      </c>
      <c r="C91">
        <v>356854801705.81488</v>
      </c>
      <c r="D91">
        <v>6.4854576069917069E-5</v>
      </c>
      <c r="E91">
        <v>44892898768.175171</v>
      </c>
      <c r="F91">
        <v>3.0884850740066021</v>
      </c>
      <c r="G91">
        <v>-44314345903.189453</v>
      </c>
      <c r="H91">
        <v>-6.6757894769696208E-2</v>
      </c>
      <c r="I91">
        <v>-146950422257.95901</v>
      </c>
      <c r="J91">
        <v>0.1020363319325444</v>
      </c>
      <c r="K91">
        <v>1098755512517.963</v>
      </c>
      <c r="L91">
        <v>-2.307294067881021</v>
      </c>
    </row>
    <row r="92" spans="1:12" x14ac:dyDescent="0.25">
      <c r="A92">
        <v>-7596112629.2683105</v>
      </c>
      <c r="B92">
        <v>6.5591290529549836E-3</v>
      </c>
      <c r="C92">
        <v>147476988944.7529</v>
      </c>
      <c r="D92">
        <v>3.7938371345828108E-2</v>
      </c>
      <c r="E92">
        <v>141873649542.5488</v>
      </c>
      <c r="F92">
        <v>2.1586065737778881E-2</v>
      </c>
      <c r="G92">
        <v>60420715860.742188</v>
      </c>
      <c r="H92">
        <v>3.7944447103467199E-2</v>
      </c>
      <c r="I92">
        <v>-466305770391.48053</v>
      </c>
      <c r="J92">
        <v>-7.5867711190115039E-2</v>
      </c>
      <c r="K92">
        <v>-1181622400241.123</v>
      </c>
      <c r="L92">
        <v>0.69927711205003007</v>
      </c>
    </row>
    <row r="93" spans="1:12" x14ac:dyDescent="0.25">
      <c r="A93">
        <v>7959698024.3986816</v>
      </c>
      <c r="B93">
        <v>2.432956712143752E-2</v>
      </c>
      <c r="C93">
        <v>461848881581.08691</v>
      </c>
      <c r="D93">
        <v>-1.8866737496834481E-2</v>
      </c>
      <c r="E93">
        <v>5314840788.645813</v>
      </c>
      <c r="F93">
        <v>2.4926872906636208</v>
      </c>
      <c r="G93">
        <v>-409555778.21191412</v>
      </c>
      <c r="H93">
        <v>-1.7762218724925619E-2</v>
      </c>
      <c r="I93">
        <v>-380022221622.34961</v>
      </c>
      <c r="J93">
        <v>2.5406213764764818E-3</v>
      </c>
      <c r="K93">
        <v>-215206557677.09769</v>
      </c>
      <c r="L93">
        <v>-0.8792027950904</v>
      </c>
    </row>
    <row r="94" spans="1:12" x14ac:dyDescent="0.25">
      <c r="A94">
        <v>12393480982.28064</v>
      </c>
      <c r="B94">
        <v>1.9472245996683919E-2</v>
      </c>
      <c r="C94">
        <v>224653602750.52829</v>
      </c>
      <c r="D94">
        <v>4.5186676567289058E-2</v>
      </c>
      <c r="E94">
        <v>210424417400.24591</v>
      </c>
      <c r="F94">
        <v>-1.909080601441971</v>
      </c>
      <c r="G94">
        <v>118577547320.0195</v>
      </c>
      <c r="H94">
        <v>2.3671568220900219E-2</v>
      </c>
      <c r="I94">
        <v>-113833957966.2617</v>
      </c>
      <c r="J94">
        <v>2.8487878822706428E-2</v>
      </c>
      <c r="K94">
        <v>231560612191.68549</v>
      </c>
      <c r="L94">
        <v>-0.1921410048717096</v>
      </c>
    </row>
    <row r="95" spans="1:12" x14ac:dyDescent="0.25">
      <c r="A95">
        <v>12240913740.20776</v>
      </c>
      <c r="B95">
        <v>7.1264057497550992E-2</v>
      </c>
      <c r="C95">
        <v>457403616624.63568</v>
      </c>
      <c r="D95">
        <v>-7.331134211029211E-3</v>
      </c>
      <c r="E95">
        <v>54475005284.416138</v>
      </c>
      <c r="F95">
        <v>0.99418931784039088</v>
      </c>
      <c r="G95">
        <v>29305411054.203121</v>
      </c>
      <c r="H95">
        <v>-5.5982792769702722E-2</v>
      </c>
      <c r="I95">
        <v>-454797362529.43951</v>
      </c>
      <c r="J95">
        <v>-3.0603598137949328E-3</v>
      </c>
      <c r="K95">
        <v>-335836285095.0293</v>
      </c>
      <c r="L95">
        <v>0.54288094237332984</v>
      </c>
    </row>
    <row r="96" spans="1:12" x14ac:dyDescent="0.25">
      <c r="A96">
        <v>9349923914.642334</v>
      </c>
      <c r="B96">
        <v>-7.5383004445980811E-2</v>
      </c>
      <c r="C96">
        <v>301363080153.18121</v>
      </c>
      <c r="D96">
        <v>2.481159353826506E-3</v>
      </c>
      <c r="E96">
        <v>66573094172.261597</v>
      </c>
      <c r="F96">
        <v>-0.1047251041566923</v>
      </c>
      <c r="G96">
        <v>29841251124.300781</v>
      </c>
      <c r="H96">
        <v>6.2268403302717212E-2</v>
      </c>
      <c r="I96">
        <v>1465918895759.73</v>
      </c>
      <c r="J96">
        <v>-0.1539557117970031</v>
      </c>
      <c r="K96">
        <v>-824427737300.76074</v>
      </c>
      <c r="L96">
        <v>1.625473262899799</v>
      </c>
    </row>
    <row r="97" spans="1:12" x14ac:dyDescent="0.25">
      <c r="A97">
        <v>15744208929.186769</v>
      </c>
      <c r="B97">
        <v>8.1300079165116113E-3</v>
      </c>
      <c r="C97">
        <v>-362350017176.16602</v>
      </c>
      <c r="D97">
        <v>-3.1751916382433298E-2</v>
      </c>
      <c r="E97">
        <v>-204587637342.46359</v>
      </c>
      <c r="F97">
        <v>-2.48</v>
      </c>
      <c r="G97">
        <v>29476776246.074219</v>
      </c>
      <c r="H97">
        <v>6.2777845709127783E-2</v>
      </c>
      <c r="I97">
        <v>219713772164.25</v>
      </c>
      <c r="J97">
        <v>0.78895072471179262</v>
      </c>
      <c r="K97">
        <v>9517581623255.125</v>
      </c>
      <c r="L97">
        <v>-2.1399999999999988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selection activeCell="B1" sqref="B1"/>
    </sheetView>
  </sheetViews>
  <sheetFormatPr defaultRowHeight="15" x14ac:dyDescent="0.25"/>
  <cols>
    <col min="1" max="1" width="21" customWidth="1"/>
    <col min="2" max="2" width="13.85546875" customWidth="1"/>
    <col min="3" max="3" width="12.7109375" customWidth="1"/>
    <col min="4" max="4" width="14.7109375" customWidth="1"/>
    <col min="5" max="5" width="14.85546875" customWidth="1"/>
    <col min="6" max="6" width="17.85546875" bestFit="1" customWidth="1"/>
    <col min="7" max="7" width="14" customWidth="1"/>
    <col min="8" max="8" width="15" customWidth="1"/>
    <col min="9" max="15" width="17.85546875" bestFit="1" customWidth="1"/>
    <col min="16" max="16" width="12.7109375" bestFit="1" customWidth="1"/>
  </cols>
  <sheetData>
    <row r="1" spans="1:4" x14ac:dyDescent="0.25">
      <c r="A1" s="3" t="s">
        <v>0</v>
      </c>
      <c r="B1" t="s">
        <v>5</v>
      </c>
    </row>
    <row r="3" spans="1:4" x14ac:dyDescent="0.25">
      <c r="A3" s="3" t="s">
        <v>40</v>
      </c>
      <c r="C3" s="3" t="s">
        <v>2</v>
      </c>
    </row>
    <row r="4" spans="1:4" x14ac:dyDescent="0.25">
      <c r="A4" s="3" t="s">
        <v>41</v>
      </c>
      <c r="B4" s="3" t="s">
        <v>1</v>
      </c>
      <c r="C4" t="s">
        <v>6</v>
      </c>
      <c r="D4" t="s">
        <v>7</v>
      </c>
    </row>
    <row r="5" spans="1:4" x14ac:dyDescent="0.25">
      <c r="A5" t="s">
        <v>12</v>
      </c>
      <c r="B5" s="2" t="s">
        <v>13</v>
      </c>
      <c r="C5" s="4"/>
      <c r="D5" s="4"/>
    </row>
    <row r="6" spans="1:4" x14ac:dyDescent="0.25">
      <c r="B6" s="2" t="s">
        <v>14</v>
      </c>
      <c r="C6" s="4">
        <v>14833100171.522341</v>
      </c>
      <c r="D6" s="4">
        <v>4.2515081182453618E-2</v>
      </c>
    </row>
    <row r="7" spans="1:4" x14ac:dyDescent="0.25">
      <c r="B7" s="2" t="s">
        <v>15</v>
      </c>
      <c r="C7" s="4">
        <v>15413798966.53455</v>
      </c>
      <c r="D7" s="4">
        <v>2.9219450924158789E-2</v>
      </c>
    </row>
    <row r="8" spans="1:4" x14ac:dyDescent="0.25">
      <c r="B8" s="2" t="s">
        <v>16</v>
      </c>
      <c r="C8" s="4">
        <v>16699950983.866091</v>
      </c>
      <c r="D8" s="4">
        <v>-8.6253534239445873E-2</v>
      </c>
    </row>
    <row r="9" spans="1:4" x14ac:dyDescent="0.25">
      <c r="A9" t="s">
        <v>17</v>
      </c>
      <c r="B9" s="2" t="s">
        <v>13</v>
      </c>
      <c r="C9" s="4">
        <v>12880348813.42017</v>
      </c>
      <c r="D9" s="4">
        <v>-9.4630080716878395E-2</v>
      </c>
    </row>
    <row r="10" spans="1:4" x14ac:dyDescent="0.25">
      <c r="B10" s="2" t="s">
        <v>14</v>
      </c>
      <c r="C10" s="4">
        <v>22365685273.111938</v>
      </c>
      <c r="D10" s="4">
        <v>-8.4667896895517625E-2</v>
      </c>
    </row>
    <row r="11" spans="1:4" x14ac:dyDescent="0.25">
      <c r="B11" s="2" t="s">
        <v>15</v>
      </c>
      <c r="C11" s="4">
        <v>19098896802.700932</v>
      </c>
      <c r="D11" s="4">
        <v>5.5686391896682397E-2</v>
      </c>
    </row>
    <row r="12" spans="1:4" x14ac:dyDescent="0.25">
      <c r="B12" s="2" t="s">
        <v>16</v>
      </c>
      <c r="C12" s="4">
        <v>20890366203.123539</v>
      </c>
      <c r="D12" s="4">
        <v>-3.7625089715268012E-4</v>
      </c>
    </row>
    <row r="13" spans="1:4" x14ac:dyDescent="0.25">
      <c r="A13" t="s">
        <v>18</v>
      </c>
      <c r="B13" s="2" t="s">
        <v>13</v>
      </c>
      <c r="C13" s="4">
        <v>21271478503.63147</v>
      </c>
      <c r="D13" s="4">
        <v>-4.6690481996777923E-2</v>
      </c>
    </row>
    <row r="14" spans="1:4" x14ac:dyDescent="0.25">
      <c r="B14" s="2" t="s">
        <v>14</v>
      </c>
      <c r="C14" s="4">
        <v>15284604928.39233</v>
      </c>
      <c r="D14" s="4">
        <v>2.6286587860195221E-2</v>
      </c>
    </row>
    <row r="15" spans="1:4" x14ac:dyDescent="0.25">
      <c r="B15" s="2" t="s">
        <v>15</v>
      </c>
      <c r="C15" s="4">
        <v>27949731745.430908</v>
      </c>
      <c r="D15" s="4">
        <v>5.0752914151002471E-2</v>
      </c>
    </row>
    <row r="16" spans="1:4" x14ac:dyDescent="0.25">
      <c r="B16" s="2" t="s">
        <v>16</v>
      </c>
      <c r="C16" s="4">
        <v>17999545861.286251</v>
      </c>
      <c r="D16" s="4">
        <v>6.4134070980054192E-4</v>
      </c>
    </row>
    <row r="17" spans="1:4" x14ac:dyDescent="0.25">
      <c r="A17" t="s">
        <v>19</v>
      </c>
      <c r="B17" s="2" t="s">
        <v>13</v>
      </c>
      <c r="C17" s="4">
        <v>31459057660.71228</v>
      </c>
      <c r="D17" s="4">
        <v>2.7341042696852062E-2</v>
      </c>
    </row>
    <row r="18" spans="1:4" x14ac:dyDescent="0.25">
      <c r="B18" s="2" t="s">
        <v>14</v>
      </c>
      <c r="C18" s="4">
        <v>28947190453.946659</v>
      </c>
      <c r="D18" s="4">
        <v>0.1006167834177686</v>
      </c>
    </row>
    <row r="19" spans="1:4" x14ac:dyDescent="0.25">
      <c r="B19" s="2" t="s">
        <v>15</v>
      </c>
      <c r="C19" s="4">
        <v>27134593582.610111</v>
      </c>
      <c r="D19" s="4">
        <v>-0.1978557637512918</v>
      </c>
    </row>
    <row r="20" spans="1:4" x14ac:dyDescent="0.25">
      <c r="B20" s="2" t="s">
        <v>16</v>
      </c>
      <c r="C20" s="4">
        <v>29991428422.758179</v>
      </c>
      <c r="D20" s="4">
        <v>-1.6588218563243801E-2</v>
      </c>
    </row>
    <row r="21" spans="1:4" x14ac:dyDescent="0.25">
      <c r="A21" t="s">
        <v>20</v>
      </c>
      <c r="B21" s="2" t="s">
        <v>13</v>
      </c>
      <c r="C21" s="4">
        <v>29702302768.69714</v>
      </c>
      <c r="D21" s="4">
        <v>-1.165827798079219E-2</v>
      </c>
    </row>
    <row r="22" spans="1:4" x14ac:dyDescent="0.25">
      <c r="B22" s="2" t="s">
        <v>14</v>
      </c>
      <c r="C22" s="4">
        <v>29665253907.291752</v>
      </c>
      <c r="D22" s="4">
        <v>-1.009223426407529E-2</v>
      </c>
    </row>
    <row r="23" spans="1:4" x14ac:dyDescent="0.25">
      <c r="B23" s="2" t="s">
        <v>15</v>
      </c>
      <c r="C23" s="4">
        <v>35744467966.165527</v>
      </c>
      <c r="D23" s="4">
        <v>2.2556180727084599E-2</v>
      </c>
    </row>
    <row r="24" spans="1:4" x14ac:dyDescent="0.25">
      <c r="B24" s="2" t="s">
        <v>16</v>
      </c>
      <c r="C24" s="4">
        <v>36153234535.322632</v>
      </c>
      <c r="D24" s="4">
        <v>-9.1993890691096092E-3</v>
      </c>
    </row>
    <row r="25" spans="1:4" x14ac:dyDescent="0.25">
      <c r="A25" t="s">
        <v>21</v>
      </c>
      <c r="B25" s="2" t="s">
        <v>13</v>
      </c>
      <c r="C25" s="4">
        <v>38789072710.564453</v>
      </c>
      <c r="D25" s="4">
        <v>2.8367133917420791E-2</v>
      </c>
    </row>
    <row r="26" spans="1:4" x14ac:dyDescent="0.25">
      <c r="B26" s="2" t="s">
        <v>14</v>
      </c>
      <c r="C26" s="4">
        <v>36409234360.20459</v>
      </c>
      <c r="D26" s="4">
        <v>0.1059472773283579</v>
      </c>
    </row>
    <row r="27" spans="1:4" x14ac:dyDescent="0.25">
      <c r="B27" s="2" t="s">
        <v>15</v>
      </c>
      <c r="C27" s="4">
        <v>45256640253.738037</v>
      </c>
      <c r="D27" s="4">
        <v>-0.14843349328121011</v>
      </c>
    </row>
    <row r="28" spans="1:4" x14ac:dyDescent="0.25">
      <c r="B28" s="2" t="s">
        <v>16</v>
      </c>
      <c r="C28" s="4">
        <v>47863732022.253662</v>
      </c>
      <c r="D28" s="4">
        <v>5.4429230865455168E-2</v>
      </c>
    </row>
    <row r="29" spans="1:4" x14ac:dyDescent="0.25">
      <c r="A29" t="s">
        <v>22</v>
      </c>
      <c r="B29" s="2" t="s">
        <v>13</v>
      </c>
      <c r="C29" s="4">
        <v>72543000874.386719</v>
      </c>
      <c r="D29" s="4">
        <v>6.2955034007688232E-2</v>
      </c>
    </row>
    <row r="30" spans="1:4" x14ac:dyDescent="0.25">
      <c r="B30" s="2" t="s">
        <v>14</v>
      </c>
      <c r="C30" s="4">
        <v>41056412096.604248</v>
      </c>
      <c r="D30" s="4">
        <v>-5.4837916393476398E-2</v>
      </c>
    </row>
    <row r="31" spans="1:4" x14ac:dyDescent="0.25">
      <c r="B31" s="2" t="s">
        <v>15</v>
      </c>
      <c r="C31" s="4">
        <v>38414637367.023682</v>
      </c>
      <c r="D31" s="4">
        <v>0.16702035106287019</v>
      </c>
    </row>
    <row r="32" spans="1:4" x14ac:dyDescent="0.25">
      <c r="B32" s="2" t="s">
        <v>16</v>
      </c>
      <c r="C32" s="4">
        <v>44837597852.805183</v>
      </c>
      <c r="D32" s="4">
        <v>5.561177090070113E-2</v>
      </c>
    </row>
    <row r="33" spans="1:4" x14ac:dyDescent="0.25">
      <c r="A33" t="s">
        <v>23</v>
      </c>
      <c r="B33" s="2" t="s">
        <v>13</v>
      </c>
      <c r="C33" s="4">
        <v>43046273703.518311</v>
      </c>
      <c r="D33" s="4">
        <v>0.14666355295291009</v>
      </c>
    </row>
    <row r="34" spans="1:4" x14ac:dyDescent="0.25">
      <c r="B34" s="2" t="s">
        <v>14</v>
      </c>
      <c r="C34" s="4">
        <v>43164975426.428711</v>
      </c>
      <c r="D34" s="4">
        <v>-0.2689686038832883</v>
      </c>
    </row>
    <row r="35" spans="1:4" x14ac:dyDescent="0.25">
      <c r="B35" s="2" t="s">
        <v>15</v>
      </c>
      <c r="C35" s="4">
        <v>42207961314.847412</v>
      </c>
      <c r="D35" s="4">
        <v>0.16688451217735439</v>
      </c>
    </row>
    <row r="36" spans="1:4" x14ac:dyDescent="0.25">
      <c r="B36" s="2" t="s">
        <v>16</v>
      </c>
      <c r="C36" s="4">
        <v>11449712292.08643</v>
      </c>
      <c r="D36" s="4">
        <v>0.35195393601277641</v>
      </c>
    </row>
    <row r="37" spans="1:4" x14ac:dyDescent="0.25">
      <c r="A37" t="s">
        <v>24</v>
      </c>
      <c r="B37" s="2" t="s">
        <v>13</v>
      </c>
      <c r="C37" s="4">
        <v>22465130090.94751</v>
      </c>
      <c r="D37" s="4">
        <v>-0.3939620253562004</v>
      </c>
    </row>
    <row r="38" spans="1:4" x14ac:dyDescent="0.25">
      <c r="B38" s="2" t="s">
        <v>14</v>
      </c>
      <c r="C38" s="4">
        <v>54397795125.311768</v>
      </c>
      <c r="D38" s="4">
        <v>-7.7316380232535176E-2</v>
      </c>
    </row>
    <row r="39" spans="1:4" x14ac:dyDescent="0.25">
      <c r="B39" s="2" t="s">
        <v>15</v>
      </c>
      <c r="C39" s="4">
        <v>71989223105.730469</v>
      </c>
      <c r="D39" s="4">
        <v>-7.3877657156122711E-2</v>
      </c>
    </row>
    <row r="40" spans="1:4" x14ac:dyDescent="0.25">
      <c r="B40" s="2" t="s">
        <v>16</v>
      </c>
      <c r="C40" s="4">
        <v>61629275895.987061</v>
      </c>
      <c r="D40" s="4">
        <v>-4.9456807487339799E-2</v>
      </c>
    </row>
    <row r="41" spans="1:4" x14ac:dyDescent="0.25">
      <c r="A41" t="s">
        <v>25</v>
      </c>
      <c r="B41" s="2" t="s">
        <v>13</v>
      </c>
      <c r="C41" s="4">
        <v>60081966598.706047</v>
      </c>
      <c r="D41" s="4">
        <v>-1.8423025853780969E-5</v>
      </c>
    </row>
    <row r="42" spans="1:4" x14ac:dyDescent="0.25">
      <c r="B42" s="2" t="s">
        <v>14</v>
      </c>
      <c r="C42" s="4">
        <v>59598368915.152832</v>
      </c>
      <c r="D42" s="4">
        <v>1.9763885072462069E-2</v>
      </c>
    </row>
    <row r="43" spans="1:4" x14ac:dyDescent="0.25">
      <c r="B43" s="2" t="s">
        <v>15</v>
      </c>
      <c r="C43" s="4">
        <v>59491758773.897949</v>
      </c>
      <c r="D43" s="4">
        <v>-0.1027554988224146</v>
      </c>
    </row>
    <row r="44" spans="1:4" x14ac:dyDescent="0.25">
      <c r="B44" s="2" t="s">
        <v>16</v>
      </c>
      <c r="C44" s="4">
        <v>55831875422.939697</v>
      </c>
      <c r="D44" s="4">
        <v>3.5514337827082298E-2</v>
      </c>
    </row>
    <row r="45" spans="1:4" x14ac:dyDescent="0.25">
      <c r="A45" t="s">
        <v>26</v>
      </c>
      <c r="B45" s="2" t="s">
        <v>13</v>
      </c>
      <c r="C45" s="4">
        <v>65557255207.89209</v>
      </c>
      <c r="D45" s="4">
        <v>6.0715855117718931E-3</v>
      </c>
    </row>
    <row r="46" spans="1:4" x14ac:dyDescent="0.25">
      <c r="B46" s="2" t="s">
        <v>14</v>
      </c>
      <c r="C46" s="4">
        <v>63136115126.487793</v>
      </c>
      <c r="D46" s="4">
        <v>-3.7026113848749487E-2</v>
      </c>
    </row>
    <row r="47" spans="1:4" x14ac:dyDescent="0.25">
      <c r="B47" s="2" t="s">
        <v>15</v>
      </c>
      <c r="C47" s="4">
        <v>51327960762.069092</v>
      </c>
      <c r="D47" s="4">
        <v>0.1881919964374055</v>
      </c>
    </row>
    <row r="48" spans="1:4" x14ac:dyDescent="0.25">
      <c r="B48" s="2" t="s">
        <v>16</v>
      </c>
      <c r="C48" s="4">
        <v>29173304499.44067</v>
      </c>
      <c r="D48" s="4">
        <v>3.8679166404946508E-2</v>
      </c>
    </row>
    <row r="49" spans="1:4" x14ac:dyDescent="0.25">
      <c r="A49" t="s">
        <v>27</v>
      </c>
      <c r="B49" s="2" t="s">
        <v>13</v>
      </c>
      <c r="C49" s="4">
        <v>34752816621.779793</v>
      </c>
      <c r="D49" s="4">
        <v>-0.17397372508398459</v>
      </c>
    </row>
    <row r="50" spans="1:4" x14ac:dyDescent="0.25">
      <c r="B50" s="2" t="s">
        <v>14</v>
      </c>
      <c r="C50" s="4">
        <v>48355040491.849609</v>
      </c>
      <c r="D50" s="4">
        <v>-5.3745367318774884E-3</v>
      </c>
    </row>
    <row r="51" spans="1:4" x14ac:dyDescent="0.25">
      <c r="B51" s="2" t="s">
        <v>15</v>
      </c>
      <c r="C51" s="4">
        <v>43035029961.930183</v>
      </c>
      <c r="D51" s="4">
        <v>-1.7408178519579511E-2</v>
      </c>
    </row>
    <row r="52" spans="1:4" x14ac:dyDescent="0.25">
      <c r="B52" s="2" t="s">
        <v>16</v>
      </c>
      <c r="C52" s="4">
        <v>39940234013.708008</v>
      </c>
      <c r="D52" s="4">
        <v>-4.6460124415704879E-2</v>
      </c>
    </row>
    <row r="53" spans="1:4" x14ac:dyDescent="0.25">
      <c r="A53" t="s">
        <v>28</v>
      </c>
      <c r="B53" s="2" t="s">
        <v>13</v>
      </c>
      <c r="C53" s="4">
        <v>50258620898.802727</v>
      </c>
      <c r="D53" s="4">
        <v>3.1956369430842603E-2</v>
      </c>
    </row>
    <row r="54" spans="1:4" x14ac:dyDescent="0.25">
      <c r="B54" s="2" t="s">
        <v>14</v>
      </c>
      <c r="C54" s="4">
        <v>34340826088.606449</v>
      </c>
      <c r="D54" s="4">
        <v>3.4723906608241289E-2</v>
      </c>
    </row>
    <row r="55" spans="1:4" x14ac:dyDescent="0.25">
      <c r="B55" s="2" t="s">
        <v>15</v>
      </c>
      <c r="C55" s="4">
        <v>45981111894.420898</v>
      </c>
      <c r="D55" s="4">
        <v>-2.0889391385869701E-2</v>
      </c>
    </row>
    <row r="56" spans="1:4" x14ac:dyDescent="0.25">
      <c r="B56" s="2" t="s">
        <v>16</v>
      </c>
      <c r="C56" s="4">
        <v>45149609989.893066</v>
      </c>
      <c r="D56" s="4">
        <v>-2.3866964381202199E-2</v>
      </c>
    </row>
    <row r="57" spans="1:4" x14ac:dyDescent="0.25">
      <c r="A57" t="s">
        <v>29</v>
      </c>
      <c r="B57" s="2" t="s">
        <v>13</v>
      </c>
      <c r="C57" s="4">
        <v>35558061882.318848</v>
      </c>
      <c r="D57" s="4">
        <v>2.84142443966309E-2</v>
      </c>
    </row>
    <row r="58" spans="1:4" x14ac:dyDescent="0.25">
      <c r="B58" s="2" t="s">
        <v>14</v>
      </c>
      <c r="C58" s="4">
        <v>41672478895.039551</v>
      </c>
      <c r="D58" s="4">
        <v>-5.7500169853449988E-2</v>
      </c>
    </row>
    <row r="59" spans="1:4" x14ac:dyDescent="0.25">
      <c r="B59" s="2" t="s">
        <v>15</v>
      </c>
      <c r="C59" s="4">
        <v>51458961265.084961</v>
      </c>
      <c r="D59" s="4">
        <v>1.1286110298042801E-2</v>
      </c>
    </row>
    <row r="60" spans="1:4" x14ac:dyDescent="0.25">
      <c r="B60" s="2" t="s">
        <v>16</v>
      </c>
      <c r="C60" s="4">
        <v>34957437732.713379</v>
      </c>
      <c r="D60" s="4">
        <v>4.3228874596188287E-2</v>
      </c>
    </row>
    <row r="61" spans="1:4" x14ac:dyDescent="0.25">
      <c r="A61" t="s">
        <v>30</v>
      </c>
      <c r="B61" s="2" t="s">
        <v>13</v>
      </c>
      <c r="C61" s="4">
        <v>35578876765.390137</v>
      </c>
      <c r="D61" s="4">
        <v>-3.2493994981651481E-2</v>
      </c>
    </row>
    <row r="62" spans="1:4" x14ac:dyDescent="0.25">
      <c r="B62" s="2" t="s">
        <v>14</v>
      </c>
      <c r="C62" s="4">
        <v>36819355619.98584</v>
      </c>
      <c r="D62" s="4">
        <v>0.1123146960882792</v>
      </c>
    </row>
    <row r="63" spans="1:4" x14ac:dyDescent="0.25">
      <c r="B63" s="2" t="s">
        <v>15</v>
      </c>
      <c r="C63" s="4">
        <v>36275538765.551758</v>
      </c>
      <c r="D63" s="4">
        <v>7.4652740681570795E-2</v>
      </c>
    </row>
    <row r="64" spans="1:4" x14ac:dyDescent="0.25">
      <c r="B64" s="2" t="s">
        <v>16</v>
      </c>
      <c r="C64" s="4">
        <v>34836814167.04541</v>
      </c>
      <c r="D64" s="4">
        <v>-0.14654107947524239</v>
      </c>
    </row>
    <row r="65" spans="1:4" x14ac:dyDescent="0.25">
      <c r="A65" t="s">
        <v>31</v>
      </c>
      <c r="B65" s="2" t="s">
        <v>13</v>
      </c>
      <c r="C65" s="4">
        <v>30395990362.838871</v>
      </c>
      <c r="D65" s="4">
        <v>9.284073777236701E-2</v>
      </c>
    </row>
    <row r="66" spans="1:4" x14ac:dyDescent="0.25">
      <c r="B66" s="2" t="s">
        <v>14</v>
      </c>
      <c r="C66" s="4">
        <v>57163028464.657227</v>
      </c>
      <c r="D66" s="4">
        <v>-0.1143799810663723</v>
      </c>
    </row>
    <row r="67" spans="1:4" x14ac:dyDescent="0.25">
      <c r="B67" s="2" t="s">
        <v>15</v>
      </c>
      <c r="C67" s="4">
        <v>63523365083.56543</v>
      </c>
      <c r="D67" s="4">
        <v>-1.963847750677428E-2</v>
      </c>
    </row>
    <row r="68" spans="1:4" x14ac:dyDescent="0.25">
      <c r="B68" s="2" t="s">
        <v>16</v>
      </c>
      <c r="C68" s="4">
        <v>72269655293.069336</v>
      </c>
      <c r="D68" s="4">
        <v>-1.2253077663527319E-2</v>
      </c>
    </row>
    <row r="69" spans="1:4" x14ac:dyDescent="0.25">
      <c r="A69" t="s">
        <v>32</v>
      </c>
      <c r="B69" s="2" t="s">
        <v>13</v>
      </c>
      <c r="C69" s="4">
        <v>83973824746.084473</v>
      </c>
      <c r="D69" s="4">
        <v>-2.2457083478478999E-2</v>
      </c>
    </row>
    <row r="70" spans="1:4" x14ac:dyDescent="0.25">
      <c r="B70" s="2" t="s">
        <v>14</v>
      </c>
      <c r="C70" s="4">
        <v>68955290532.081543</v>
      </c>
      <c r="D70" s="4">
        <v>-7.5975958408092958E-3</v>
      </c>
    </row>
    <row r="71" spans="1:4" x14ac:dyDescent="0.25">
      <c r="B71" s="2" t="s">
        <v>15</v>
      </c>
      <c r="C71" s="4">
        <v>65883454786.489258</v>
      </c>
      <c r="D71" s="4">
        <v>2.945391492734958E-2</v>
      </c>
    </row>
    <row r="72" spans="1:4" x14ac:dyDescent="0.25">
      <c r="B72" s="2" t="s">
        <v>16</v>
      </c>
      <c r="C72" s="4">
        <v>53829725926.86377</v>
      </c>
      <c r="D72" s="4">
        <v>1.6304768964165019E-2</v>
      </c>
    </row>
    <row r="73" spans="1:4" x14ac:dyDescent="0.25">
      <c r="A73" t="s">
        <v>33</v>
      </c>
      <c r="B73" s="2" t="s">
        <v>13</v>
      </c>
      <c r="C73" s="4">
        <v>62921675254.210449</v>
      </c>
      <c r="D73" s="4">
        <v>8.1556071387553802E-2</v>
      </c>
    </row>
    <row r="74" spans="1:4" x14ac:dyDescent="0.25">
      <c r="B74" s="2" t="s">
        <v>14</v>
      </c>
      <c r="C74" s="4">
        <v>51817466776.975098</v>
      </c>
      <c r="D74" s="4">
        <v>-5.6853986043616113E-2</v>
      </c>
    </row>
    <row r="75" spans="1:4" x14ac:dyDescent="0.25">
      <c r="B75" s="2" t="s">
        <v>15</v>
      </c>
      <c r="C75" s="4">
        <v>49502804198.558113</v>
      </c>
      <c r="D75" s="4">
        <v>2.567594611939009E-2</v>
      </c>
    </row>
    <row r="76" spans="1:4" x14ac:dyDescent="0.25">
      <c r="B76" s="2" t="s">
        <v>16</v>
      </c>
      <c r="C76" s="4">
        <v>48157148775.172363</v>
      </c>
      <c r="D76" s="4">
        <v>5.0452456547051723E-2</v>
      </c>
    </row>
    <row r="77" spans="1:4" x14ac:dyDescent="0.25">
      <c r="A77" t="s">
        <v>34</v>
      </c>
      <c r="B77" s="2" t="s">
        <v>13</v>
      </c>
      <c r="C77" s="4">
        <v>225746785824.6221</v>
      </c>
      <c r="D77" s="4">
        <v>-6.9385947005699916E-2</v>
      </c>
    </row>
    <row r="78" spans="1:4" x14ac:dyDescent="0.25">
      <c r="B78" s="2" t="s">
        <v>14</v>
      </c>
      <c r="C78" s="4">
        <v>-156096268896.2178</v>
      </c>
      <c r="D78" s="4">
        <v>-1.51355391450339E-2</v>
      </c>
    </row>
    <row r="79" spans="1:4" x14ac:dyDescent="0.25">
      <c r="B79" s="2" t="s">
        <v>15</v>
      </c>
      <c r="C79" s="4">
        <v>32201921135.297852</v>
      </c>
      <c r="D79" s="4">
        <v>-1.025754942175458E-2</v>
      </c>
    </row>
    <row r="80" spans="1:4" x14ac:dyDescent="0.25">
      <c r="B80" s="2" t="s">
        <v>16</v>
      </c>
      <c r="C80" s="4">
        <v>-51276172115.609863</v>
      </c>
      <c r="D80" s="4">
        <v>-2.9705951325493422E-2</v>
      </c>
    </row>
    <row r="81" spans="1:4" x14ac:dyDescent="0.25">
      <c r="A81" t="s">
        <v>35</v>
      </c>
      <c r="B81" s="2" t="s">
        <v>13</v>
      </c>
      <c r="C81" s="4">
        <v>50463011212.617188</v>
      </c>
      <c r="D81" s="4">
        <v>0.18490951967474761</v>
      </c>
    </row>
    <row r="82" spans="1:4" x14ac:dyDescent="0.25">
      <c r="B82" s="2" t="s">
        <v>14</v>
      </c>
      <c r="C82" s="4">
        <v>-59525985088.243156</v>
      </c>
      <c r="D82" s="4">
        <v>-0.1092965207896175</v>
      </c>
    </row>
    <row r="83" spans="1:4" x14ac:dyDescent="0.25">
      <c r="B83" s="2" t="s">
        <v>15</v>
      </c>
      <c r="C83" s="4">
        <v>194898965815.84909</v>
      </c>
      <c r="D83" s="4">
        <v>3.9938670746903798E-2</v>
      </c>
    </row>
    <row r="84" spans="1:4" x14ac:dyDescent="0.25">
      <c r="B84" s="2" t="s">
        <v>16</v>
      </c>
      <c r="C84" s="4">
        <v>78644322893.984863</v>
      </c>
      <c r="D84" s="4">
        <v>-5.8115215481791521E-2</v>
      </c>
    </row>
    <row r="85" spans="1:4" x14ac:dyDescent="0.25">
      <c r="A85" t="s">
        <v>36</v>
      </c>
      <c r="B85" s="2" t="s">
        <v>13</v>
      </c>
      <c r="C85" s="4">
        <v>327658968291.99072</v>
      </c>
      <c r="D85" s="4">
        <v>9.3621588448557391E-2</v>
      </c>
    </row>
    <row r="86" spans="1:4" x14ac:dyDescent="0.25">
      <c r="B86" s="2" t="s">
        <v>14</v>
      </c>
      <c r="C86" s="4">
        <v>-144672092886.7822</v>
      </c>
      <c r="D86" s="4">
        <v>-0.12376495915836951</v>
      </c>
    </row>
    <row r="87" spans="1:4" x14ac:dyDescent="0.25">
      <c r="B87" s="2" t="s">
        <v>15</v>
      </c>
      <c r="C87" s="4">
        <v>100840707965.17191</v>
      </c>
      <c r="D87" s="4">
        <v>0.14724494059504131</v>
      </c>
    </row>
    <row r="88" spans="1:4" x14ac:dyDescent="0.25">
      <c r="B88" s="2" t="s">
        <v>16</v>
      </c>
      <c r="C88" s="4">
        <v>104947254696.08501</v>
      </c>
      <c r="D88" s="4">
        <v>-9.4521321034023664E-2</v>
      </c>
    </row>
    <row r="89" spans="1:4" x14ac:dyDescent="0.25">
      <c r="A89" t="s">
        <v>37</v>
      </c>
      <c r="B89" s="2" t="s">
        <v>13</v>
      </c>
      <c r="C89" s="4">
        <v>107983137961.2832</v>
      </c>
      <c r="D89" s="4">
        <v>0.25274828817090139</v>
      </c>
    </row>
    <row r="90" spans="1:4" x14ac:dyDescent="0.25">
      <c r="B90" s="2" t="s">
        <v>14</v>
      </c>
      <c r="C90" s="4">
        <v>-238403711786.87891</v>
      </c>
      <c r="D90" s="4">
        <v>-0.12941302758017881</v>
      </c>
    </row>
    <row r="91" spans="1:4" x14ac:dyDescent="0.25">
      <c r="B91" s="2" t="s">
        <v>15</v>
      </c>
      <c r="C91" s="4">
        <v>165756949581.9263</v>
      </c>
      <c r="D91" s="4">
        <v>-0.11748329299862061</v>
      </c>
    </row>
    <row r="92" spans="1:4" x14ac:dyDescent="0.25">
      <c r="B92" s="2" t="s">
        <v>16</v>
      </c>
      <c r="C92" s="4">
        <v>16201263446.697269</v>
      </c>
      <c r="D92" s="4">
        <v>0.21665709350480111</v>
      </c>
    </row>
    <row r="93" spans="1:4" x14ac:dyDescent="0.25">
      <c r="A93" t="s">
        <v>38</v>
      </c>
      <c r="B93" s="2" t="s">
        <v>13</v>
      </c>
      <c r="C93" s="4">
        <v>185405026240.34769</v>
      </c>
      <c r="D93" s="4">
        <v>-0.1685331504912303</v>
      </c>
    </row>
    <row r="94" spans="1:4" x14ac:dyDescent="0.25">
      <c r="B94" s="2" t="s">
        <v>14</v>
      </c>
      <c r="C94" s="4">
        <v>-44314345903.189453</v>
      </c>
      <c r="D94" s="4">
        <v>-6.6757894769696208E-2</v>
      </c>
    </row>
    <row r="95" spans="1:4" x14ac:dyDescent="0.25">
      <c r="B95" s="2" t="s">
        <v>15</v>
      </c>
      <c r="C95" s="4">
        <v>60420715860.742188</v>
      </c>
      <c r="D95" s="4">
        <v>3.7944447103467199E-2</v>
      </c>
    </row>
    <row r="96" spans="1:4" x14ac:dyDescent="0.25">
      <c r="B96" s="2" t="s">
        <v>16</v>
      </c>
      <c r="C96" s="4">
        <v>-409555778.21191412</v>
      </c>
      <c r="D96" s="4">
        <v>-1.7762218724925619E-2</v>
      </c>
    </row>
    <row r="97" spans="1:4" x14ac:dyDescent="0.25">
      <c r="A97" t="s">
        <v>39</v>
      </c>
      <c r="B97" s="2" t="s">
        <v>13</v>
      </c>
      <c r="C97" s="4">
        <v>118577547320.0195</v>
      </c>
      <c r="D97" s="4">
        <v>2.3671568220900219E-2</v>
      </c>
    </row>
    <row r="98" spans="1:4" x14ac:dyDescent="0.25">
      <c r="B98" s="2" t="s">
        <v>14</v>
      </c>
      <c r="C98" s="4">
        <v>29305411054.203121</v>
      </c>
      <c r="D98" s="4">
        <v>-5.5982792769702722E-2</v>
      </c>
    </row>
    <row r="99" spans="1:4" x14ac:dyDescent="0.25">
      <c r="B99" s="2" t="s">
        <v>15</v>
      </c>
      <c r="C99" s="4">
        <v>29841251124.300781</v>
      </c>
      <c r="D99" s="4">
        <v>6.2268403302717212E-2</v>
      </c>
    </row>
    <row r="100" spans="1:4" x14ac:dyDescent="0.25">
      <c r="B100" s="2" t="s">
        <v>16</v>
      </c>
      <c r="C100" s="4">
        <v>29476776246.074219</v>
      </c>
      <c r="D100" s="4">
        <v>6.2777845709127783E-2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36981</v>
      </c>
      <c r="C2" t="s">
        <v>6</v>
      </c>
    </row>
    <row r="3" spans="1:4" x14ac:dyDescent="0.25">
      <c r="A3" t="s">
        <v>4</v>
      </c>
      <c r="B3" s="2">
        <v>37072</v>
      </c>
      <c r="C3" t="s">
        <v>6</v>
      </c>
      <c r="D3">
        <v>2549143231.7150569</v>
      </c>
    </row>
    <row r="4" spans="1:4" x14ac:dyDescent="0.25">
      <c r="A4" t="s">
        <v>4</v>
      </c>
      <c r="B4" s="2">
        <v>37164</v>
      </c>
      <c r="C4" t="s">
        <v>6</v>
      </c>
      <c r="D4">
        <v>1698448543.4269409</v>
      </c>
    </row>
    <row r="5" spans="1:4" x14ac:dyDescent="0.25">
      <c r="A5" t="s">
        <v>4</v>
      </c>
      <c r="B5" s="2">
        <v>37256</v>
      </c>
      <c r="C5" t="s">
        <v>6</v>
      </c>
      <c r="D5">
        <v>3025860058.390686</v>
      </c>
    </row>
    <row r="6" spans="1:4" x14ac:dyDescent="0.25">
      <c r="A6" t="s">
        <v>4</v>
      </c>
      <c r="B6" s="2">
        <v>37346</v>
      </c>
      <c r="C6" t="s">
        <v>6</v>
      </c>
      <c r="D6">
        <v>832857559.14263916</v>
      </c>
    </row>
    <row r="7" spans="1:4" x14ac:dyDescent="0.25">
      <c r="A7" t="s">
        <v>4</v>
      </c>
      <c r="B7" s="2">
        <v>37437</v>
      </c>
      <c r="C7" t="s">
        <v>6</v>
      </c>
      <c r="D7">
        <v>2168472999.8249512</v>
      </c>
    </row>
    <row r="8" spans="1:4" x14ac:dyDescent="0.25">
      <c r="A8" t="s">
        <v>4</v>
      </c>
      <c r="B8" s="2">
        <v>37529</v>
      </c>
      <c r="C8" t="s">
        <v>6</v>
      </c>
      <c r="D8">
        <v>2503445077.0845342</v>
      </c>
    </row>
    <row r="9" spans="1:4" x14ac:dyDescent="0.25">
      <c r="A9" t="s">
        <v>4</v>
      </c>
      <c r="B9" s="2">
        <v>37621</v>
      </c>
      <c r="C9" t="s">
        <v>6</v>
      </c>
      <c r="D9">
        <v>-722459970.69140625</v>
      </c>
    </row>
    <row r="10" spans="1:4" x14ac:dyDescent="0.25">
      <c r="A10" t="s">
        <v>4</v>
      </c>
      <c r="B10" s="2">
        <v>37711</v>
      </c>
      <c r="C10" t="s">
        <v>6</v>
      </c>
      <c r="D10">
        <v>8240148137.0823975</v>
      </c>
    </row>
    <row r="11" spans="1:4" x14ac:dyDescent="0.25">
      <c r="A11" t="s">
        <v>4</v>
      </c>
      <c r="B11" s="2">
        <v>37802</v>
      </c>
      <c r="C11" t="s">
        <v>6</v>
      </c>
      <c r="D11">
        <v>504060762.23660278</v>
      </c>
    </row>
    <row r="12" spans="1:4" x14ac:dyDescent="0.25">
      <c r="A12" t="s">
        <v>4</v>
      </c>
      <c r="B12" s="2">
        <v>37894</v>
      </c>
      <c r="C12" t="s">
        <v>6</v>
      </c>
      <c r="D12">
        <v>6928465384.148407</v>
      </c>
    </row>
    <row r="13" spans="1:4" x14ac:dyDescent="0.25">
      <c r="A13" t="s">
        <v>4</v>
      </c>
      <c r="B13" s="2">
        <v>37986</v>
      </c>
      <c r="C13" t="s">
        <v>6</v>
      </c>
      <c r="D13">
        <v>11575918066.31723</v>
      </c>
    </row>
    <row r="14" spans="1:4" x14ac:dyDescent="0.25">
      <c r="A14" t="s">
        <v>4</v>
      </c>
      <c r="B14" s="2">
        <v>38077</v>
      </c>
      <c r="C14" t="s">
        <v>6</v>
      </c>
      <c r="D14">
        <v>-1662278822.9073789</v>
      </c>
    </row>
    <row r="15" spans="1:4" x14ac:dyDescent="0.25">
      <c r="A15" t="s">
        <v>4</v>
      </c>
      <c r="B15" s="2">
        <v>38168</v>
      </c>
      <c r="C15" t="s">
        <v>6</v>
      </c>
      <c r="D15">
        <v>12910867799.14444</v>
      </c>
    </row>
    <row r="16" spans="1:4" x14ac:dyDescent="0.25">
      <c r="A16" t="s">
        <v>4</v>
      </c>
      <c r="B16" s="2">
        <v>38260</v>
      </c>
      <c r="C16" t="s">
        <v>6</v>
      </c>
      <c r="D16">
        <v>10044332633.155239</v>
      </c>
    </row>
    <row r="17" spans="1:4" x14ac:dyDescent="0.25">
      <c r="A17" t="s">
        <v>4</v>
      </c>
      <c r="B17" s="2">
        <v>38352</v>
      </c>
      <c r="C17" t="s">
        <v>6</v>
      </c>
      <c r="D17">
        <v>-2194251890.9832759</v>
      </c>
    </row>
    <row r="18" spans="1:4" x14ac:dyDescent="0.25">
      <c r="A18" t="s">
        <v>4</v>
      </c>
      <c r="B18" s="2">
        <v>38442</v>
      </c>
      <c r="C18" t="s">
        <v>6</v>
      </c>
      <c r="D18">
        <v>9111213392.6320801</v>
      </c>
    </row>
    <row r="19" spans="1:4" x14ac:dyDescent="0.25">
      <c r="A19" t="s">
        <v>4</v>
      </c>
      <c r="B19" s="2">
        <v>38533</v>
      </c>
      <c r="C19" t="s">
        <v>6</v>
      </c>
      <c r="D19">
        <v>7627254101.9596252</v>
      </c>
    </row>
    <row r="20" spans="1:4" x14ac:dyDescent="0.25">
      <c r="A20" t="s">
        <v>4</v>
      </c>
      <c r="B20" s="2">
        <v>38625</v>
      </c>
      <c r="C20" t="s">
        <v>6</v>
      </c>
      <c r="D20">
        <v>-604015388.35247803</v>
      </c>
    </row>
    <row r="21" spans="1:4" x14ac:dyDescent="0.25">
      <c r="A21" t="s">
        <v>4</v>
      </c>
      <c r="B21" s="2">
        <v>38717</v>
      </c>
      <c r="C21" t="s">
        <v>6</v>
      </c>
      <c r="D21">
        <v>8627283750.9066162</v>
      </c>
    </row>
    <row r="22" spans="1:4" x14ac:dyDescent="0.25">
      <c r="A22" t="s">
        <v>4</v>
      </c>
      <c r="B22" s="2">
        <v>38807</v>
      </c>
      <c r="C22" t="s">
        <v>6</v>
      </c>
      <c r="D22">
        <v>9580139700.8459473</v>
      </c>
    </row>
    <row r="23" spans="1:4" x14ac:dyDescent="0.25">
      <c r="A23" t="s">
        <v>4</v>
      </c>
      <c r="B23" s="2">
        <v>38898</v>
      </c>
      <c r="C23" t="s">
        <v>6</v>
      </c>
      <c r="D23">
        <v>-2781269107.864502</v>
      </c>
    </row>
    <row r="24" spans="1:4" x14ac:dyDescent="0.25">
      <c r="A24" t="s">
        <v>4</v>
      </c>
      <c r="B24" s="2">
        <v>38990</v>
      </c>
      <c r="C24" t="s">
        <v>6</v>
      </c>
      <c r="D24">
        <v>10832727167.85046</v>
      </c>
    </row>
    <row r="25" spans="1:4" x14ac:dyDescent="0.25">
      <c r="A25" t="s">
        <v>4</v>
      </c>
      <c r="B25" s="2">
        <v>39082</v>
      </c>
      <c r="C25" t="s">
        <v>6</v>
      </c>
      <c r="D25">
        <v>35621935.827087402</v>
      </c>
    </row>
    <row r="26" spans="1:4" x14ac:dyDescent="0.25">
      <c r="A26" t="s">
        <v>4</v>
      </c>
      <c r="B26" s="2">
        <v>39172</v>
      </c>
      <c r="C26" t="s">
        <v>6</v>
      </c>
      <c r="D26">
        <v>8136337791.1976929</v>
      </c>
    </row>
    <row r="27" spans="1:4" x14ac:dyDescent="0.25">
      <c r="A27" t="s">
        <v>4</v>
      </c>
      <c r="B27" s="2">
        <v>39263</v>
      </c>
      <c r="C27" t="s">
        <v>6</v>
      </c>
      <c r="D27">
        <v>8670413078.5150757</v>
      </c>
    </row>
    <row r="28" spans="1:4" x14ac:dyDescent="0.25">
      <c r="A28" t="s">
        <v>4</v>
      </c>
      <c r="B28" s="2">
        <v>39355</v>
      </c>
      <c r="C28" t="s">
        <v>6</v>
      </c>
      <c r="D28">
        <v>8140655610.3591919</v>
      </c>
    </row>
    <row r="29" spans="1:4" x14ac:dyDescent="0.25">
      <c r="A29" t="s">
        <v>4</v>
      </c>
      <c r="B29" s="2">
        <v>39447</v>
      </c>
      <c r="C29" t="s">
        <v>6</v>
      </c>
      <c r="D29">
        <v>13886835457.570681</v>
      </c>
    </row>
    <row r="30" spans="1:4" x14ac:dyDescent="0.25">
      <c r="A30" t="s">
        <v>4</v>
      </c>
      <c r="B30" s="2">
        <v>39538</v>
      </c>
      <c r="C30" t="s">
        <v>6</v>
      </c>
      <c r="D30">
        <v>919576776.59661865</v>
      </c>
    </row>
    <row r="31" spans="1:4" x14ac:dyDescent="0.25">
      <c r="A31" t="s">
        <v>4</v>
      </c>
      <c r="B31" s="2">
        <v>39629</v>
      </c>
      <c r="C31" t="s">
        <v>6</v>
      </c>
      <c r="D31">
        <v>30847697442.42749</v>
      </c>
    </row>
    <row r="32" spans="1:4" x14ac:dyDescent="0.25">
      <c r="A32" t="s">
        <v>4</v>
      </c>
      <c r="B32" s="2">
        <v>39721</v>
      </c>
      <c r="C32" t="s">
        <v>6</v>
      </c>
      <c r="D32">
        <v>4203693441.1933589</v>
      </c>
    </row>
    <row r="33" spans="1:4" x14ac:dyDescent="0.25">
      <c r="A33" t="s">
        <v>4</v>
      </c>
      <c r="B33" s="2">
        <v>39813</v>
      </c>
      <c r="C33" t="s">
        <v>6</v>
      </c>
      <c r="D33">
        <v>-17206216871.401058</v>
      </c>
    </row>
    <row r="34" spans="1:4" x14ac:dyDescent="0.25">
      <c r="A34" t="s">
        <v>4</v>
      </c>
      <c r="B34" s="2">
        <v>39903</v>
      </c>
      <c r="C34" t="s">
        <v>6</v>
      </c>
      <c r="D34">
        <v>636446766.72503662</v>
      </c>
    </row>
    <row r="35" spans="1:4" x14ac:dyDescent="0.25">
      <c r="A35" t="s">
        <v>4</v>
      </c>
      <c r="B35" s="2">
        <v>39994</v>
      </c>
      <c r="C35" t="s">
        <v>6</v>
      </c>
      <c r="D35">
        <v>7141568060.4303589</v>
      </c>
    </row>
    <row r="36" spans="1:4" x14ac:dyDescent="0.25">
      <c r="A36" t="s">
        <v>4</v>
      </c>
      <c r="B36" s="2">
        <v>40086</v>
      </c>
      <c r="C36" t="s">
        <v>6</v>
      </c>
      <c r="D36">
        <v>5232581359.2958984</v>
      </c>
    </row>
    <row r="37" spans="1:4" x14ac:dyDescent="0.25">
      <c r="A37" t="s">
        <v>4</v>
      </c>
      <c r="B37" s="2">
        <v>40178</v>
      </c>
      <c r="C37" t="s">
        <v>6</v>
      </c>
      <c r="D37">
        <v>986354952.9329834</v>
      </c>
    </row>
    <row r="38" spans="1:4" x14ac:dyDescent="0.25">
      <c r="A38" t="s">
        <v>4</v>
      </c>
      <c r="B38" s="2">
        <v>40268</v>
      </c>
      <c r="C38" t="s">
        <v>6</v>
      </c>
      <c r="D38">
        <v>11340075031.38489</v>
      </c>
    </row>
    <row r="39" spans="1:4" x14ac:dyDescent="0.25">
      <c r="A39" t="s">
        <v>4</v>
      </c>
      <c r="B39" s="2">
        <v>40359</v>
      </c>
      <c r="C39" t="s">
        <v>6</v>
      </c>
      <c r="D39">
        <v>5412342166.982605</v>
      </c>
    </row>
    <row r="40" spans="1:4" x14ac:dyDescent="0.25">
      <c r="A40" t="s">
        <v>4</v>
      </c>
      <c r="B40" s="2">
        <v>40451</v>
      </c>
      <c r="C40" t="s">
        <v>6</v>
      </c>
      <c r="D40">
        <v>11296354621.93866</v>
      </c>
    </row>
    <row r="41" spans="1:4" x14ac:dyDescent="0.25">
      <c r="A41" t="s">
        <v>4</v>
      </c>
      <c r="B41" s="2">
        <v>40543</v>
      </c>
      <c r="C41" t="s">
        <v>6</v>
      </c>
      <c r="D41">
        <v>5746229347.1029053</v>
      </c>
    </row>
    <row r="42" spans="1:4" x14ac:dyDescent="0.25">
      <c r="A42" t="s">
        <v>4</v>
      </c>
      <c r="B42" s="2">
        <v>40633</v>
      </c>
      <c r="C42" t="s">
        <v>6</v>
      </c>
      <c r="D42">
        <v>6682430477.8519897</v>
      </c>
    </row>
    <row r="43" spans="1:4" x14ac:dyDescent="0.25">
      <c r="A43" t="s">
        <v>4</v>
      </c>
      <c r="B43" s="2">
        <v>40724</v>
      </c>
      <c r="C43" t="s">
        <v>6</v>
      </c>
      <c r="D43">
        <v>9960433979.6413574</v>
      </c>
    </row>
    <row r="44" spans="1:4" x14ac:dyDescent="0.25">
      <c r="A44" t="s">
        <v>4</v>
      </c>
      <c r="B44" s="2">
        <v>40816</v>
      </c>
      <c r="C44" t="s">
        <v>6</v>
      </c>
      <c r="D44">
        <v>-5523320390.7730103</v>
      </c>
    </row>
    <row r="45" spans="1:4" x14ac:dyDescent="0.25">
      <c r="A45" t="s">
        <v>4</v>
      </c>
      <c r="B45" s="2">
        <v>40908</v>
      </c>
      <c r="C45" t="s">
        <v>6</v>
      </c>
      <c r="D45">
        <v>-6828405451.128418</v>
      </c>
    </row>
    <row r="46" spans="1:4" x14ac:dyDescent="0.25">
      <c r="A46" t="s">
        <v>4</v>
      </c>
      <c r="B46" s="2">
        <v>40999</v>
      </c>
      <c r="C46" t="s">
        <v>6</v>
      </c>
      <c r="D46">
        <v>26922527798.941349</v>
      </c>
    </row>
    <row r="47" spans="1:4" x14ac:dyDescent="0.25">
      <c r="A47" t="s">
        <v>4</v>
      </c>
      <c r="B47" s="2">
        <v>41090</v>
      </c>
      <c r="C47" t="s">
        <v>6</v>
      </c>
      <c r="D47">
        <v>-1317401939.8887939</v>
      </c>
    </row>
    <row r="48" spans="1:4" x14ac:dyDescent="0.25">
      <c r="A48" t="s">
        <v>4</v>
      </c>
      <c r="B48" s="2">
        <v>41182</v>
      </c>
      <c r="C48" t="s">
        <v>6</v>
      </c>
      <c r="D48">
        <v>3654107074.7868652</v>
      </c>
    </row>
    <row r="49" spans="1:4" x14ac:dyDescent="0.25">
      <c r="A49" t="s">
        <v>4</v>
      </c>
      <c r="B49" s="2">
        <v>41274</v>
      </c>
      <c r="C49" t="s">
        <v>6</v>
      </c>
      <c r="D49">
        <v>-112805675.4193726</v>
      </c>
    </row>
    <row r="50" spans="1:4" x14ac:dyDescent="0.25">
      <c r="A50" t="s">
        <v>4</v>
      </c>
      <c r="B50" s="2">
        <v>41364</v>
      </c>
      <c r="C50" t="s">
        <v>6</v>
      </c>
      <c r="D50">
        <v>1660980246.7276001</v>
      </c>
    </row>
    <row r="51" spans="1:4" x14ac:dyDescent="0.25">
      <c r="A51" t="s">
        <v>4</v>
      </c>
      <c r="B51" s="2">
        <v>41455</v>
      </c>
      <c r="C51" t="s">
        <v>6</v>
      </c>
      <c r="D51">
        <v>-12160382977.89185</v>
      </c>
    </row>
    <row r="52" spans="1:4" x14ac:dyDescent="0.25">
      <c r="A52" t="s">
        <v>4</v>
      </c>
      <c r="B52" s="2">
        <v>41547</v>
      </c>
      <c r="C52" t="s">
        <v>6</v>
      </c>
      <c r="D52">
        <v>15997202682.853331</v>
      </c>
    </row>
    <row r="53" spans="1:4" x14ac:dyDescent="0.25">
      <c r="A53" t="s">
        <v>4</v>
      </c>
      <c r="B53" s="2">
        <v>41639</v>
      </c>
      <c r="C53" t="s">
        <v>6</v>
      </c>
      <c r="D53">
        <v>4216362177.2817378</v>
      </c>
    </row>
    <row r="54" spans="1:4" x14ac:dyDescent="0.25">
      <c r="A54" t="s">
        <v>4</v>
      </c>
      <c r="B54" s="2">
        <v>41729</v>
      </c>
      <c r="C54" t="s">
        <v>6</v>
      </c>
      <c r="D54">
        <v>306455298.21252441</v>
      </c>
    </row>
    <row r="55" spans="1:4" x14ac:dyDescent="0.25">
      <c r="A55" t="s">
        <v>4</v>
      </c>
      <c r="B55" s="2">
        <v>41820</v>
      </c>
      <c r="C55" t="s">
        <v>6</v>
      </c>
      <c r="D55">
        <v>2115920415.382812</v>
      </c>
    </row>
    <row r="56" spans="1:4" x14ac:dyDescent="0.25">
      <c r="A56" t="s">
        <v>4</v>
      </c>
      <c r="B56" s="2">
        <v>41912</v>
      </c>
      <c r="C56" t="s">
        <v>6</v>
      </c>
      <c r="D56">
        <v>2309925326.417542</v>
      </c>
    </row>
    <row r="57" spans="1:4" x14ac:dyDescent="0.25">
      <c r="A57" t="s">
        <v>4</v>
      </c>
      <c r="B57" s="2">
        <v>42004</v>
      </c>
      <c r="C57" t="s">
        <v>6</v>
      </c>
      <c r="D57">
        <v>3833529385.1532588</v>
      </c>
    </row>
    <row r="58" spans="1:4" x14ac:dyDescent="0.25">
      <c r="A58" t="s">
        <v>4</v>
      </c>
      <c r="B58" s="2">
        <v>42094</v>
      </c>
      <c r="C58" t="s">
        <v>6</v>
      </c>
      <c r="D58">
        <v>-963956483.29608154</v>
      </c>
    </row>
    <row r="59" spans="1:4" x14ac:dyDescent="0.25">
      <c r="A59" t="s">
        <v>4</v>
      </c>
      <c r="B59" s="2">
        <v>42185</v>
      </c>
      <c r="C59" t="s">
        <v>6</v>
      </c>
      <c r="D59">
        <v>10749613545.781191</v>
      </c>
    </row>
    <row r="60" spans="1:4" x14ac:dyDescent="0.25">
      <c r="A60" t="s">
        <v>4</v>
      </c>
      <c r="B60" s="2">
        <v>42277</v>
      </c>
      <c r="C60" t="s">
        <v>6</v>
      </c>
      <c r="D60">
        <v>16864358201.718691</v>
      </c>
    </row>
    <row r="61" spans="1:4" x14ac:dyDescent="0.25">
      <c r="A61" t="s">
        <v>4</v>
      </c>
      <c r="B61" s="2">
        <v>42369</v>
      </c>
      <c r="C61" t="s">
        <v>6</v>
      </c>
      <c r="D61">
        <v>-10550670463.38159</v>
      </c>
    </row>
    <row r="62" spans="1:4" x14ac:dyDescent="0.25">
      <c r="A62" t="s">
        <v>4</v>
      </c>
      <c r="B62" s="2">
        <v>42460</v>
      </c>
      <c r="C62" t="s">
        <v>6</v>
      </c>
      <c r="D62">
        <v>7663788336.9546509</v>
      </c>
    </row>
    <row r="63" spans="1:4" x14ac:dyDescent="0.25">
      <c r="A63" t="s">
        <v>4</v>
      </c>
      <c r="B63" s="2">
        <v>42551</v>
      </c>
      <c r="C63" t="s">
        <v>6</v>
      </c>
      <c r="D63">
        <v>9738890254.5437012</v>
      </c>
    </row>
    <row r="64" spans="1:4" x14ac:dyDescent="0.25">
      <c r="A64" t="s">
        <v>4</v>
      </c>
      <c r="B64" s="2">
        <v>42643</v>
      </c>
      <c r="C64" t="s">
        <v>6</v>
      </c>
      <c r="D64">
        <v>11231805422.060301</v>
      </c>
    </row>
    <row r="65" spans="1:4" x14ac:dyDescent="0.25">
      <c r="A65" t="s">
        <v>4</v>
      </c>
      <c r="B65" s="2">
        <v>42735</v>
      </c>
      <c r="C65" t="s">
        <v>6</v>
      </c>
      <c r="D65">
        <v>9217453089.8954468</v>
      </c>
    </row>
    <row r="66" spans="1:4" x14ac:dyDescent="0.25">
      <c r="A66" t="s">
        <v>4</v>
      </c>
      <c r="B66" s="2">
        <v>42825</v>
      </c>
      <c r="C66" t="s">
        <v>6</v>
      </c>
      <c r="D66">
        <v>14801327631.200871</v>
      </c>
    </row>
    <row r="67" spans="1:4" x14ac:dyDescent="0.25">
      <c r="A67" t="s">
        <v>4</v>
      </c>
      <c r="B67" s="2">
        <v>42916</v>
      </c>
      <c r="C67" t="s">
        <v>6</v>
      </c>
      <c r="D67">
        <v>4330719719.4945068</v>
      </c>
    </row>
    <row r="68" spans="1:4" x14ac:dyDescent="0.25">
      <c r="A68" t="s">
        <v>4</v>
      </c>
      <c r="B68" s="2">
        <v>43008</v>
      </c>
      <c r="C68" t="s">
        <v>6</v>
      </c>
      <c r="D68">
        <v>12583737488.52393</v>
      </c>
    </row>
    <row r="69" spans="1:4" x14ac:dyDescent="0.25">
      <c r="A69" t="s">
        <v>4</v>
      </c>
      <c r="B69" s="2">
        <v>43100</v>
      </c>
      <c r="C69" t="s">
        <v>6</v>
      </c>
      <c r="D69">
        <v>11374530900.835079</v>
      </c>
    </row>
    <row r="70" spans="1:4" x14ac:dyDescent="0.25">
      <c r="A70" t="s">
        <v>4</v>
      </c>
      <c r="B70" s="2">
        <v>43190</v>
      </c>
      <c r="C70" t="s">
        <v>6</v>
      </c>
      <c r="D70">
        <v>8778666827.68396</v>
      </c>
    </row>
    <row r="71" spans="1:4" x14ac:dyDescent="0.25">
      <c r="A71" t="s">
        <v>4</v>
      </c>
      <c r="B71" s="2">
        <v>43281</v>
      </c>
      <c r="C71" t="s">
        <v>6</v>
      </c>
      <c r="D71">
        <v>10556989584.536249</v>
      </c>
    </row>
    <row r="72" spans="1:4" x14ac:dyDescent="0.25">
      <c r="A72" t="s">
        <v>4</v>
      </c>
      <c r="B72" s="2">
        <v>43373</v>
      </c>
      <c r="C72" t="s">
        <v>6</v>
      </c>
      <c r="D72">
        <v>132844553.7626953</v>
      </c>
    </row>
    <row r="73" spans="1:4" x14ac:dyDescent="0.25">
      <c r="A73" t="s">
        <v>4</v>
      </c>
      <c r="B73" s="2">
        <v>43465</v>
      </c>
      <c r="C73" t="s">
        <v>6</v>
      </c>
      <c r="D73">
        <v>5435314547.7171631</v>
      </c>
    </row>
    <row r="74" spans="1:4" x14ac:dyDescent="0.25">
      <c r="A74" t="s">
        <v>4</v>
      </c>
      <c r="B74" s="2">
        <v>43555</v>
      </c>
      <c r="C74" t="s">
        <v>6</v>
      </c>
      <c r="D74">
        <v>-6612869543.7607422</v>
      </c>
    </row>
    <row r="75" spans="1:4" x14ac:dyDescent="0.25">
      <c r="A75" t="s">
        <v>4</v>
      </c>
      <c r="B75" s="2">
        <v>43646</v>
      </c>
      <c r="C75" t="s">
        <v>6</v>
      </c>
      <c r="D75">
        <v>918583885.14611816</v>
      </c>
    </row>
    <row r="76" spans="1:4" x14ac:dyDescent="0.25">
      <c r="A76" t="s">
        <v>4</v>
      </c>
      <c r="B76" s="2">
        <v>43738</v>
      </c>
      <c r="C76" t="s">
        <v>6</v>
      </c>
      <c r="D76">
        <v>-3413021600.0915532</v>
      </c>
    </row>
    <row r="77" spans="1:4" x14ac:dyDescent="0.25">
      <c r="A77" t="s">
        <v>4</v>
      </c>
      <c r="B77" s="2">
        <v>43830</v>
      </c>
      <c r="C77" t="s">
        <v>6</v>
      </c>
      <c r="D77">
        <v>-5071033487.4876709</v>
      </c>
    </row>
    <row r="78" spans="1:4" x14ac:dyDescent="0.25">
      <c r="A78" t="s">
        <v>4</v>
      </c>
      <c r="B78" s="2">
        <v>43921</v>
      </c>
      <c r="C78" t="s">
        <v>6</v>
      </c>
      <c r="D78">
        <v>-5450845158.3652344</v>
      </c>
    </row>
    <row r="79" spans="1:4" x14ac:dyDescent="0.25">
      <c r="A79" t="s">
        <v>4</v>
      </c>
      <c r="B79" s="2">
        <v>44012</v>
      </c>
      <c r="C79" t="s">
        <v>6</v>
      </c>
      <c r="D79">
        <v>-96122138674.753113</v>
      </c>
    </row>
    <row r="80" spans="1:4" x14ac:dyDescent="0.25">
      <c r="A80" t="s">
        <v>4</v>
      </c>
      <c r="B80" s="2">
        <v>44104</v>
      </c>
      <c r="C80" t="s">
        <v>6</v>
      </c>
      <c r="D80">
        <v>62741969034.67572</v>
      </c>
    </row>
    <row r="81" spans="1:4" x14ac:dyDescent="0.25">
      <c r="A81" t="s">
        <v>4</v>
      </c>
      <c r="B81" s="2">
        <v>44196</v>
      </c>
      <c r="C81" t="s">
        <v>6</v>
      </c>
      <c r="D81">
        <v>42205223567.319817</v>
      </c>
    </row>
    <row r="82" spans="1:4" x14ac:dyDescent="0.25">
      <c r="A82" t="s">
        <v>4</v>
      </c>
      <c r="B82" s="2">
        <v>44286</v>
      </c>
      <c r="C82" t="s">
        <v>6</v>
      </c>
      <c r="D82">
        <v>14394651560.153561</v>
      </c>
    </row>
    <row r="83" spans="1:4" x14ac:dyDescent="0.25">
      <c r="A83" t="s">
        <v>4</v>
      </c>
      <c r="B83" s="2">
        <v>44377</v>
      </c>
      <c r="C83" t="s">
        <v>6</v>
      </c>
      <c r="D83">
        <v>8199631366.9287109</v>
      </c>
    </row>
    <row r="84" spans="1:4" x14ac:dyDescent="0.25">
      <c r="A84" t="s">
        <v>4</v>
      </c>
      <c r="B84" s="2">
        <v>44469</v>
      </c>
      <c r="C84" t="s">
        <v>6</v>
      </c>
      <c r="D84">
        <v>12683052200.77002</v>
      </c>
    </row>
    <row r="85" spans="1:4" x14ac:dyDescent="0.25">
      <c r="A85" t="s">
        <v>4</v>
      </c>
      <c r="B85" s="2">
        <v>44561</v>
      </c>
      <c r="C85" t="s">
        <v>6</v>
      </c>
      <c r="D85">
        <v>17787000261.514771</v>
      </c>
    </row>
    <row r="86" spans="1:4" x14ac:dyDescent="0.25">
      <c r="A86" t="s">
        <v>4</v>
      </c>
      <c r="B86" s="2">
        <v>44651</v>
      </c>
      <c r="C86" t="s">
        <v>6</v>
      </c>
      <c r="D86">
        <v>11925199737.695801</v>
      </c>
    </row>
    <row r="87" spans="1:4" x14ac:dyDescent="0.25">
      <c r="A87" t="s">
        <v>4</v>
      </c>
      <c r="B87" s="2">
        <v>44742</v>
      </c>
      <c r="C87" t="s">
        <v>6</v>
      </c>
      <c r="D87">
        <v>50401648766.076538</v>
      </c>
    </row>
    <row r="88" spans="1:4" x14ac:dyDescent="0.25">
      <c r="A88" t="s">
        <v>4</v>
      </c>
      <c r="B88" s="2">
        <v>44834</v>
      </c>
      <c r="C88" t="s">
        <v>6</v>
      </c>
      <c r="D88">
        <v>-35947066948.485718</v>
      </c>
    </row>
    <row r="89" spans="1:4" x14ac:dyDescent="0.25">
      <c r="A89" t="s">
        <v>4</v>
      </c>
      <c r="B89" s="2">
        <v>44926</v>
      </c>
      <c r="C89" t="s">
        <v>6</v>
      </c>
      <c r="D89">
        <v>-183815548.78991699</v>
      </c>
    </row>
    <row r="90" spans="1:4" x14ac:dyDescent="0.25">
      <c r="A90" t="s">
        <v>4</v>
      </c>
      <c r="B90" s="2">
        <v>45016</v>
      </c>
      <c r="C90" t="s">
        <v>6</v>
      </c>
      <c r="D90">
        <v>12809591771.390141</v>
      </c>
    </row>
    <row r="91" spans="1:4" x14ac:dyDescent="0.25">
      <c r="A91" t="s">
        <v>4</v>
      </c>
      <c r="B91" s="2">
        <v>45107</v>
      </c>
      <c r="C91" t="s">
        <v>6</v>
      </c>
      <c r="D91">
        <v>34232257881.370609</v>
      </c>
    </row>
    <row r="92" spans="1:4" x14ac:dyDescent="0.25">
      <c r="A92" t="s">
        <v>4</v>
      </c>
      <c r="B92" s="2">
        <v>45199</v>
      </c>
      <c r="C92" t="s">
        <v>6</v>
      </c>
      <c r="D92">
        <v>-7596112629.2683105</v>
      </c>
    </row>
    <row r="93" spans="1:4" x14ac:dyDescent="0.25">
      <c r="A93" t="s">
        <v>4</v>
      </c>
      <c r="B93" s="2">
        <v>45291</v>
      </c>
      <c r="C93" t="s">
        <v>6</v>
      </c>
      <c r="D93">
        <v>7959698024.3986816</v>
      </c>
    </row>
    <row r="94" spans="1:4" x14ac:dyDescent="0.25">
      <c r="A94" t="s">
        <v>4</v>
      </c>
      <c r="B94" s="2">
        <v>45382</v>
      </c>
      <c r="C94" t="s">
        <v>6</v>
      </c>
      <c r="D94">
        <v>12393480982.28064</v>
      </c>
    </row>
    <row r="95" spans="1:4" x14ac:dyDescent="0.25">
      <c r="A95" t="s">
        <v>4</v>
      </c>
      <c r="B95" s="2">
        <v>45473</v>
      </c>
      <c r="C95" t="s">
        <v>6</v>
      </c>
      <c r="D95">
        <v>12240913740.20776</v>
      </c>
    </row>
    <row r="96" spans="1:4" x14ac:dyDescent="0.25">
      <c r="A96" t="s">
        <v>4</v>
      </c>
      <c r="B96" s="2">
        <v>45565</v>
      </c>
      <c r="C96" t="s">
        <v>6</v>
      </c>
      <c r="D96">
        <v>9349923914.642334</v>
      </c>
    </row>
    <row r="97" spans="1:4" x14ac:dyDescent="0.25">
      <c r="A97" t="s">
        <v>4</v>
      </c>
      <c r="B97" s="2">
        <v>45657</v>
      </c>
      <c r="C97" t="s">
        <v>6</v>
      </c>
      <c r="D97">
        <v>15744208929.186769</v>
      </c>
    </row>
    <row r="98" spans="1:4" x14ac:dyDescent="0.25">
      <c r="A98" t="s">
        <v>5</v>
      </c>
      <c r="B98" s="2">
        <v>36981</v>
      </c>
      <c r="C98" t="s">
        <v>6</v>
      </c>
    </row>
    <row r="99" spans="1:4" x14ac:dyDescent="0.25">
      <c r="A99" t="s">
        <v>5</v>
      </c>
      <c r="B99" s="2">
        <v>37072</v>
      </c>
      <c r="C99" t="s">
        <v>6</v>
      </c>
      <c r="D99">
        <v>14833100171.522341</v>
      </c>
    </row>
    <row r="100" spans="1:4" x14ac:dyDescent="0.25">
      <c r="A100" t="s">
        <v>5</v>
      </c>
      <c r="B100" s="2">
        <v>37164</v>
      </c>
      <c r="C100" t="s">
        <v>6</v>
      </c>
      <c r="D100">
        <v>15413798966.53455</v>
      </c>
    </row>
    <row r="101" spans="1:4" x14ac:dyDescent="0.25">
      <c r="A101" t="s">
        <v>5</v>
      </c>
      <c r="B101" s="2">
        <v>37256</v>
      </c>
      <c r="C101" t="s">
        <v>6</v>
      </c>
      <c r="D101">
        <v>16699950983.866091</v>
      </c>
    </row>
    <row r="102" spans="1:4" x14ac:dyDescent="0.25">
      <c r="A102" t="s">
        <v>5</v>
      </c>
      <c r="B102" s="2">
        <v>37346</v>
      </c>
      <c r="C102" t="s">
        <v>6</v>
      </c>
      <c r="D102">
        <v>12880348813.42017</v>
      </c>
    </row>
    <row r="103" spans="1:4" x14ac:dyDescent="0.25">
      <c r="A103" t="s">
        <v>5</v>
      </c>
      <c r="B103" s="2">
        <v>37437</v>
      </c>
      <c r="C103" t="s">
        <v>6</v>
      </c>
      <c r="D103">
        <v>22365685273.111938</v>
      </c>
    </row>
    <row r="104" spans="1:4" x14ac:dyDescent="0.25">
      <c r="A104" t="s">
        <v>5</v>
      </c>
      <c r="B104" s="2">
        <v>37529</v>
      </c>
      <c r="C104" t="s">
        <v>6</v>
      </c>
      <c r="D104">
        <v>19098896802.700932</v>
      </c>
    </row>
    <row r="105" spans="1:4" x14ac:dyDescent="0.25">
      <c r="A105" t="s">
        <v>5</v>
      </c>
      <c r="B105" s="2">
        <v>37621</v>
      </c>
      <c r="C105" t="s">
        <v>6</v>
      </c>
      <c r="D105">
        <v>20890366203.123539</v>
      </c>
    </row>
    <row r="106" spans="1:4" x14ac:dyDescent="0.25">
      <c r="A106" t="s">
        <v>5</v>
      </c>
      <c r="B106" s="2">
        <v>37711</v>
      </c>
      <c r="C106" t="s">
        <v>6</v>
      </c>
      <c r="D106">
        <v>21271478503.63147</v>
      </c>
    </row>
    <row r="107" spans="1:4" x14ac:dyDescent="0.25">
      <c r="A107" t="s">
        <v>5</v>
      </c>
      <c r="B107" s="2">
        <v>37802</v>
      </c>
      <c r="C107" t="s">
        <v>6</v>
      </c>
      <c r="D107">
        <v>15284604928.39233</v>
      </c>
    </row>
    <row r="108" spans="1:4" x14ac:dyDescent="0.25">
      <c r="A108" t="s">
        <v>5</v>
      </c>
      <c r="B108" s="2">
        <v>37894</v>
      </c>
      <c r="C108" t="s">
        <v>6</v>
      </c>
      <c r="D108">
        <v>27949731745.430908</v>
      </c>
    </row>
    <row r="109" spans="1:4" x14ac:dyDescent="0.25">
      <c r="A109" t="s">
        <v>5</v>
      </c>
      <c r="B109" s="2">
        <v>37986</v>
      </c>
      <c r="C109" t="s">
        <v>6</v>
      </c>
      <c r="D109">
        <v>17999545861.286251</v>
      </c>
    </row>
    <row r="110" spans="1:4" x14ac:dyDescent="0.25">
      <c r="A110" t="s">
        <v>5</v>
      </c>
      <c r="B110" s="2">
        <v>38077</v>
      </c>
      <c r="C110" t="s">
        <v>6</v>
      </c>
      <c r="D110">
        <v>31459057660.71228</v>
      </c>
    </row>
    <row r="111" spans="1:4" x14ac:dyDescent="0.25">
      <c r="A111" t="s">
        <v>5</v>
      </c>
      <c r="B111" s="2">
        <v>38168</v>
      </c>
      <c r="C111" t="s">
        <v>6</v>
      </c>
      <c r="D111">
        <v>28947190453.946659</v>
      </c>
    </row>
    <row r="112" spans="1:4" x14ac:dyDescent="0.25">
      <c r="A112" t="s">
        <v>5</v>
      </c>
      <c r="B112" s="2">
        <v>38260</v>
      </c>
      <c r="C112" t="s">
        <v>6</v>
      </c>
      <c r="D112">
        <v>27134593582.610111</v>
      </c>
    </row>
    <row r="113" spans="1:4" x14ac:dyDescent="0.25">
      <c r="A113" t="s">
        <v>5</v>
      </c>
      <c r="B113" s="2">
        <v>38352</v>
      </c>
      <c r="C113" t="s">
        <v>6</v>
      </c>
      <c r="D113">
        <v>29991428422.758179</v>
      </c>
    </row>
    <row r="114" spans="1:4" x14ac:dyDescent="0.25">
      <c r="A114" t="s">
        <v>5</v>
      </c>
      <c r="B114" s="2">
        <v>38442</v>
      </c>
      <c r="C114" t="s">
        <v>6</v>
      </c>
      <c r="D114">
        <v>29702302768.69714</v>
      </c>
    </row>
    <row r="115" spans="1:4" x14ac:dyDescent="0.25">
      <c r="A115" t="s">
        <v>5</v>
      </c>
      <c r="B115" s="2">
        <v>38533</v>
      </c>
      <c r="C115" t="s">
        <v>6</v>
      </c>
      <c r="D115">
        <v>29665253907.291752</v>
      </c>
    </row>
    <row r="116" spans="1:4" x14ac:dyDescent="0.25">
      <c r="A116" t="s">
        <v>5</v>
      </c>
      <c r="B116" s="2">
        <v>38625</v>
      </c>
      <c r="C116" t="s">
        <v>6</v>
      </c>
      <c r="D116">
        <v>35744467966.165527</v>
      </c>
    </row>
    <row r="117" spans="1:4" x14ac:dyDescent="0.25">
      <c r="A117" t="s">
        <v>5</v>
      </c>
      <c r="B117" s="2">
        <v>38717</v>
      </c>
      <c r="C117" t="s">
        <v>6</v>
      </c>
      <c r="D117">
        <v>36153234535.322632</v>
      </c>
    </row>
    <row r="118" spans="1:4" x14ac:dyDescent="0.25">
      <c r="A118" t="s">
        <v>5</v>
      </c>
      <c r="B118" s="2">
        <v>38807</v>
      </c>
      <c r="C118" t="s">
        <v>6</v>
      </c>
      <c r="D118">
        <v>38789072710.564453</v>
      </c>
    </row>
    <row r="119" spans="1:4" x14ac:dyDescent="0.25">
      <c r="A119" t="s">
        <v>5</v>
      </c>
      <c r="B119" s="2">
        <v>38898</v>
      </c>
      <c r="C119" t="s">
        <v>6</v>
      </c>
      <c r="D119">
        <v>36409234360.20459</v>
      </c>
    </row>
    <row r="120" spans="1:4" x14ac:dyDescent="0.25">
      <c r="A120" t="s">
        <v>5</v>
      </c>
      <c r="B120" s="2">
        <v>38990</v>
      </c>
      <c r="C120" t="s">
        <v>6</v>
      </c>
      <c r="D120">
        <v>45256640253.738037</v>
      </c>
    </row>
    <row r="121" spans="1:4" x14ac:dyDescent="0.25">
      <c r="A121" t="s">
        <v>5</v>
      </c>
      <c r="B121" s="2">
        <v>39082</v>
      </c>
      <c r="C121" t="s">
        <v>6</v>
      </c>
      <c r="D121">
        <v>47863732022.253662</v>
      </c>
    </row>
    <row r="122" spans="1:4" x14ac:dyDescent="0.25">
      <c r="A122" t="s">
        <v>5</v>
      </c>
      <c r="B122" s="2">
        <v>39172</v>
      </c>
      <c r="C122" t="s">
        <v>6</v>
      </c>
      <c r="D122">
        <v>72543000874.386719</v>
      </c>
    </row>
    <row r="123" spans="1:4" x14ac:dyDescent="0.25">
      <c r="A123" t="s">
        <v>5</v>
      </c>
      <c r="B123" s="2">
        <v>39263</v>
      </c>
      <c r="C123" t="s">
        <v>6</v>
      </c>
      <c r="D123">
        <v>41056412096.604248</v>
      </c>
    </row>
    <row r="124" spans="1:4" x14ac:dyDescent="0.25">
      <c r="A124" t="s">
        <v>5</v>
      </c>
      <c r="B124" s="2">
        <v>39355</v>
      </c>
      <c r="C124" t="s">
        <v>6</v>
      </c>
      <c r="D124">
        <v>38414637367.023682</v>
      </c>
    </row>
    <row r="125" spans="1:4" x14ac:dyDescent="0.25">
      <c r="A125" t="s">
        <v>5</v>
      </c>
      <c r="B125" s="2">
        <v>39447</v>
      </c>
      <c r="C125" t="s">
        <v>6</v>
      </c>
      <c r="D125">
        <v>44837597852.805183</v>
      </c>
    </row>
    <row r="126" spans="1:4" x14ac:dyDescent="0.25">
      <c r="A126" t="s">
        <v>5</v>
      </c>
      <c r="B126" s="2">
        <v>39538</v>
      </c>
      <c r="C126" t="s">
        <v>6</v>
      </c>
      <c r="D126">
        <v>43046273703.518311</v>
      </c>
    </row>
    <row r="127" spans="1:4" x14ac:dyDescent="0.25">
      <c r="A127" t="s">
        <v>5</v>
      </c>
      <c r="B127" s="2">
        <v>39629</v>
      </c>
      <c r="C127" t="s">
        <v>6</v>
      </c>
      <c r="D127">
        <v>43164975426.428711</v>
      </c>
    </row>
    <row r="128" spans="1:4" x14ac:dyDescent="0.25">
      <c r="A128" t="s">
        <v>5</v>
      </c>
      <c r="B128" s="2">
        <v>39721</v>
      </c>
      <c r="C128" t="s">
        <v>6</v>
      </c>
      <c r="D128">
        <v>42207961314.847412</v>
      </c>
    </row>
    <row r="129" spans="1:4" x14ac:dyDescent="0.25">
      <c r="A129" t="s">
        <v>5</v>
      </c>
      <c r="B129" s="2">
        <v>39813</v>
      </c>
      <c r="C129" t="s">
        <v>6</v>
      </c>
      <c r="D129">
        <v>11449712292.08643</v>
      </c>
    </row>
    <row r="130" spans="1:4" x14ac:dyDescent="0.25">
      <c r="A130" t="s">
        <v>5</v>
      </c>
      <c r="B130" s="2">
        <v>39903</v>
      </c>
      <c r="C130" t="s">
        <v>6</v>
      </c>
      <c r="D130">
        <v>22465130090.94751</v>
      </c>
    </row>
    <row r="131" spans="1:4" x14ac:dyDescent="0.25">
      <c r="A131" t="s">
        <v>5</v>
      </c>
      <c r="B131" s="2">
        <v>39994</v>
      </c>
      <c r="C131" t="s">
        <v>6</v>
      </c>
      <c r="D131">
        <v>54397795125.311768</v>
      </c>
    </row>
    <row r="132" spans="1:4" x14ac:dyDescent="0.25">
      <c r="A132" t="s">
        <v>5</v>
      </c>
      <c r="B132" s="2">
        <v>40086</v>
      </c>
      <c r="C132" t="s">
        <v>6</v>
      </c>
      <c r="D132">
        <v>71989223105.730469</v>
      </c>
    </row>
    <row r="133" spans="1:4" x14ac:dyDescent="0.25">
      <c r="A133" t="s">
        <v>5</v>
      </c>
      <c r="B133" s="2">
        <v>40178</v>
      </c>
      <c r="C133" t="s">
        <v>6</v>
      </c>
      <c r="D133">
        <v>61629275895.987061</v>
      </c>
    </row>
    <row r="134" spans="1:4" x14ac:dyDescent="0.25">
      <c r="A134" t="s">
        <v>5</v>
      </c>
      <c r="B134" s="2">
        <v>40268</v>
      </c>
      <c r="C134" t="s">
        <v>6</v>
      </c>
      <c r="D134">
        <v>60081966598.706047</v>
      </c>
    </row>
    <row r="135" spans="1:4" x14ac:dyDescent="0.25">
      <c r="A135" t="s">
        <v>5</v>
      </c>
      <c r="B135" s="2">
        <v>40359</v>
      </c>
      <c r="C135" t="s">
        <v>6</v>
      </c>
      <c r="D135">
        <v>59598368915.152832</v>
      </c>
    </row>
    <row r="136" spans="1:4" x14ac:dyDescent="0.25">
      <c r="A136" t="s">
        <v>5</v>
      </c>
      <c r="B136" s="2">
        <v>40451</v>
      </c>
      <c r="C136" t="s">
        <v>6</v>
      </c>
      <c r="D136">
        <v>59491758773.897949</v>
      </c>
    </row>
    <row r="137" spans="1:4" x14ac:dyDescent="0.25">
      <c r="A137" t="s">
        <v>5</v>
      </c>
      <c r="B137" s="2">
        <v>40543</v>
      </c>
      <c r="C137" t="s">
        <v>6</v>
      </c>
      <c r="D137">
        <v>55831875422.939697</v>
      </c>
    </row>
    <row r="138" spans="1:4" x14ac:dyDescent="0.25">
      <c r="A138" t="s">
        <v>5</v>
      </c>
      <c r="B138" s="2">
        <v>40633</v>
      </c>
      <c r="C138" t="s">
        <v>6</v>
      </c>
      <c r="D138">
        <v>65557255207.89209</v>
      </c>
    </row>
    <row r="139" spans="1:4" x14ac:dyDescent="0.25">
      <c r="A139" t="s">
        <v>5</v>
      </c>
      <c r="B139" s="2">
        <v>40724</v>
      </c>
      <c r="C139" t="s">
        <v>6</v>
      </c>
      <c r="D139">
        <v>63136115126.487793</v>
      </c>
    </row>
    <row r="140" spans="1:4" x14ac:dyDescent="0.25">
      <c r="A140" t="s">
        <v>5</v>
      </c>
      <c r="B140" s="2">
        <v>40816</v>
      </c>
      <c r="C140" t="s">
        <v>6</v>
      </c>
      <c r="D140">
        <v>51327960762.069092</v>
      </c>
    </row>
    <row r="141" spans="1:4" x14ac:dyDescent="0.25">
      <c r="A141" t="s">
        <v>5</v>
      </c>
      <c r="B141" s="2">
        <v>40908</v>
      </c>
      <c r="C141" t="s">
        <v>6</v>
      </c>
      <c r="D141">
        <v>29173304499.44067</v>
      </c>
    </row>
    <row r="142" spans="1:4" x14ac:dyDescent="0.25">
      <c r="A142" t="s">
        <v>5</v>
      </c>
      <c r="B142" s="2">
        <v>40999</v>
      </c>
      <c r="C142" t="s">
        <v>6</v>
      </c>
      <c r="D142">
        <v>34752816621.779793</v>
      </c>
    </row>
    <row r="143" spans="1:4" x14ac:dyDescent="0.25">
      <c r="A143" t="s">
        <v>5</v>
      </c>
      <c r="B143" s="2">
        <v>41090</v>
      </c>
      <c r="C143" t="s">
        <v>6</v>
      </c>
      <c r="D143">
        <v>48355040491.849609</v>
      </c>
    </row>
    <row r="144" spans="1:4" x14ac:dyDescent="0.25">
      <c r="A144" t="s">
        <v>5</v>
      </c>
      <c r="B144" s="2">
        <v>41182</v>
      </c>
      <c r="C144" t="s">
        <v>6</v>
      </c>
      <c r="D144">
        <v>43035029961.930183</v>
      </c>
    </row>
    <row r="145" spans="1:4" x14ac:dyDescent="0.25">
      <c r="A145" t="s">
        <v>5</v>
      </c>
      <c r="B145" s="2">
        <v>41274</v>
      </c>
      <c r="C145" t="s">
        <v>6</v>
      </c>
      <c r="D145">
        <v>39940234013.708008</v>
      </c>
    </row>
    <row r="146" spans="1:4" x14ac:dyDescent="0.25">
      <c r="A146" t="s">
        <v>5</v>
      </c>
      <c r="B146" s="2">
        <v>41364</v>
      </c>
      <c r="C146" t="s">
        <v>6</v>
      </c>
      <c r="D146">
        <v>50258620898.802727</v>
      </c>
    </row>
    <row r="147" spans="1:4" x14ac:dyDescent="0.25">
      <c r="A147" t="s">
        <v>5</v>
      </c>
      <c r="B147" s="2">
        <v>41455</v>
      </c>
      <c r="C147" t="s">
        <v>6</v>
      </c>
      <c r="D147">
        <v>34340826088.606449</v>
      </c>
    </row>
    <row r="148" spans="1:4" x14ac:dyDescent="0.25">
      <c r="A148" t="s">
        <v>5</v>
      </c>
      <c r="B148" s="2">
        <v>41547</v>
      </c>
      <c r="C148" t="s">
        <v>6</v>
      </c>
      <c r="D148">
        <v>45981111894.420898</v>
      </c>
    </row>
    <row r="149" spans="1:4" x14ac:dyDescent="0.25">
      <c r="A149" t="s">
        <v>5</v>
      </c>
      <c r="B149" s="2">
        <v>41639</v>
      </c>
      <c r="C149" t="s">
        <v>6</v>
      </c>
      <c r="D149">
        <v>45149609989.893066</v>
      </c>
    </row>
    <row r="150" spans="1:4" x14ac:dyDescent="0.25">
      <c r="A150" t="s">
        <v>5</v>
      </c>
      <c r="B150" s="2">
        <v>41729</v>
      </c>
      <c r="C150" t="s">
        <v>6</v>
      </c>
      <c r="D150">
        <v>35558061882.318848</v>
      </c>
    </row>
    <row r="151" spans="1:4" x14ac:dyDescent="0.25">
      <c r="A151" t="s">
        <v>5</v>
      </c>
      <c r="B151" s="2">
        <v>41820</v>
      </c>
      <c r="C151" t="s">
        <v>6</v>
      </c>
      <c r="D151">
        <v>41672478895.039551</v>
      </c>
    </row>
    <row r="152" spans="1:4" x14ac:dyDescent="0.25">
      <c r="A152" t="s">
        <v>5</v>
      </c>
      <c r="B152" s="2">
        <v>41912</v>
      </c>
      <c r="C152" t="s">
        <v>6</v>
      </c>
      <c r="D152">
        <v>51458961265.084961</v>
      </c>
    </row>
    <row r="153" spans="1:4" x14ac:dyDescent="0.25">
      <c r="A153" t="s">
        <v>5</v>
      </c>
      <c r="B153" s="2">
        <v>42004</v>
      </c>
      <c r="C153" t="s">
        <v>6</v>
      </c>
      <c r="D153">
        <v>34957437732.713379</v>
      </c>
    </row>
    <row r="154" spans="1:4" x14ac:dyDescent="0.25">
      <c r="A154" t="s">
        <v>5</v>
      </c>
      <c r="B154" s="2">
        <v>42094</v>
      </c>
      <c r="C154" t="s">
        <v>6</v>
      </c>
      <c r="D154">
        <v>35578876765.390137</v>
      </c>
    </row>
    <row r="155" spans="1:4" x14ac:dyDescent="0.25">
      <c r="A155" t="s">
        <v>5</v>
      </c>
      <c r="B155" s="2">
        <v>42185</v>
      </c>
      <c r="C155" t="s">
        <v>6</v>
      </c>
      <c r="D155">
        <v>36819355619.98584</v>
      </c>
    </row>
    <row r="156" spans="1:4" x14ac:dyDescent="0.25">
      <c r="A156" t="s">
        <v>5</v>
      </c>
      <c r="B156" s="2">
        <v>42277</v>
      </c>
      <c r="C156" t="s">
        <v>6</v>
      </c>
      <c r="D156">
        <v>36275538765.551758</v>
      </c>
    </row>
    <row r="157" spans="1:4" x14ac:dyDescent="0.25">
      <c r="A157" t="s">
        <v>5</v>
      </c>
      <c r="B157" s="2">
        <v>42369</v>
      </c>
      <c r="C157" t="s">
        <v>6</v>
      </c>
      <c r="D157">
        <v>34836814167.04541</v>
      </c>
    </row>
    <row r="158" spans="1:4" x14ac:dyDescent="0.25">
      <c r="A158" t="s">
        <v>5</v>
      </c>
      <c r="B158" s="2">
        <v>42460</v>
      </c>
      <c r="C158" t="s">
        <v>6</v>
      </c>
      <c r="D158">
        <v>30395990362.838871</v>
      </c>
    </row>
    <row r="159" spans="1:4" x14ac:dyDescent="0.25">
      <c r="A159" t="s">
        <v>5</v>
      </c>
      <c r="B159" s="2">
        <v>42551</v>
      </c>
      <c r="C159" t="s">
        <v>6</v>
      </c>
      <c r="D159">
        <v>57163028464.657227</v>
      </c>
    </row>
    <row r="160" spans="1:4" x14ac:dyDescent="0.25">
      <c r="A160" t="s">
        <v>5</v>
      </c>
      <c r="B160" s="2">
        <v>42643</v>
      </c>
      <c r="C160" t="s">
        <v>6</v>
      </c>
      <c r="D160">
        <v>63523365083.56543</v>
      </c>
    </row>
    <row r="161" spans="1:4" x14ac:dyDescent="0.25">
      <c r="A161" t="s">
        <v>5</v>
      </c>
      <c r="B161" s="2">
        <v>42735</v>
      </c>
      <c r="C161" t="s">
        <v>6</v>
      </c>
      <c r="D161">
        <v>72269655293.069336</v>
      </c>
    </row>
    <row r="162" spans="1:4" x14ac:dyDescent="0.25">
      <c r="A162" t="s">
        <v>5</v>
      </c>
      <c r="B162" s="2">
        <v>42825</v>
      </c>
      <c r="C162" t="s">
        <v>6</v>
      </c>
      <c r="D162">
        <v>83973824746.084473</v>
      </c>
    </row>
    <row r="163" spans="1:4" x14ac:dyDescent="0.25">
      <c r="A163" t="s">
        <v>5</v>
      </c>
      <c r="B163" s="2">
        <v>42916</v>
      </c>
      <c r="C163" t="s">
        <v>6</v>
      </c>
      <c r="D163">
        <v>68955290532.081543</v>
      </c>
    </row>
    <row r="164" spans="1:4" x14ac:dyDescent="0.25">
      <c r="A164" t="s">
        <v>5</v>
      </c>
      <c r="B164" s="2">
        <v>43008</v>
      </c>
      <c r="C164" t="s">
        <v>6</v>
      </c>
      <c r="D164">
        <v>65883454786.489258</v>
      </c>
    </row>
    <row r="165" spans="1:4" x14ac:dyDescent="0.25">
      <c r="A165" t="s">
        <v>5</v>
      </c>
      <c r="B165" s="2">
        <v>43100</v>
      </c>
      <c r="C165" t="s">
        <v>6</v>
      </c>
      <c r="D165">
        <v>53829725926.86377</v>
      </c>
    </row>
    <row r="166" spans="1:4" x14ac:dyDescent="0.25">
      <c r="A166" t="s">
        <v>5</v>
      </c>
      <c r="B166" s="2">
        <v>43190</v>
      </c>
      <c r="C166" t="s">
        <v>6</v>
      </c>
      <c r="D166">
        <v>62921675254.210449</v>
      </c>
    </row>
    <row r="167" spans="1:4" x14ac:dyDescent="0.25">
      <c r="A167" t="s">
        <v>5</v>
      </c>
      <c r="B167" s="2">
        <v>43281</v>
      </c>
      <c r="C167" t="s">
        <v>6</v>
      </c>
      <c r="D167">
        <v>51817466776.975098</v>
      </c>
    </row>
    <row r="168" spans="1:4" x14ac:dyDescent="0.25">
      <c r="A168" t="s">
        <v>5</v>
      </c>
      <c r="B168" s="2">
        <v>43373</v>
      </c>
      <c r="C168" t="s">
        <v>6</v>
      </c>
      <c r="D168">
        <v>49502804198.558113</v>
      </c>
    </row>
    <row r="169" spans="1:4" x14ac:dyDescent="0.25">
      <c r="A169" t="s">
        <v>5</v>
      </c>
      <c r="B169" s="2">
        <v>43465</v>
      </c>
      <c r="C169" t="s">
        <v>6</v>
      </c>
      <c r="D169">
        <v>48157148775.172363</v>
      </c>
    </row>
    <row r="170" spans="1:4" x14ac:dyDescent="0.25">
      <c r="A170" t="s">
        <v>5</v>
      </c>
      <c r="B170" s="2">
        <v>43555</v>
      </c>
      <c r="C170" t="s">
        <v>6</v>
      </c>
      <c r="D170">
        <v>225746785824.6221</v>
      </c>
    </row>
    <row r="171" spans="1:4" x14ac:dyDescent="0.25">
      <c r="A171" t="s">
        <v>5</v>
      </c>
      <c r="B171" s="2">
        <v>43646</v>
      </c>
      <c r="C171" t="s">
        <v>6</v>
      </c>
      <c r="D171">
        <v>-156096268896.2178</v>
      </c>
    </row>
    <row r="172" spans="1:4" x14ac:dyDescent="0.25">
      <c r="A172" t="s">
        <v>5</v>
      </c>
      <c r="B172" s="2">
        <v>43738</v>
      </c>
      <c r="C172" t="s">
        <v>6</v>
      </c>
      <c r="D172">
        <v>32201921135.297852</v>
      </c>
    </row>
    <row r="173" spans="1:4" x14ac:dyDescent="0.25">
      <c r="A173" t="s">
        <v>5</v>
      </c>
      <c r="B173" s="2">
        <v>43830</v>
      </c>
      <c r="C173" t="s">
        <v>6</v>
      </c>
      <c r="D173">
        <v>-51276172115.609863</v>
      </c>
    </row>
    <row r="174" spans="1:4" x14ac:dyDescent="0.25">
      <c r="A174" t="s">
        <v>5</v>
      </c>
      <c r="B174" s="2">
        <v>43921</v>
      </c>
      <c r="C174" t="s">
        <v>6</v>
      </c>
      <c r="D174">
        <v>50463011212.617188</v>
      </c>
    </row>
    <row r="175" spans="1:4" x14ac:dyDescent="0.25">
      <c r="A175" t="s">
        <v>5</v>
      </c>
      <c r="B175" s="2">
        <v>44012</v>
      </c>
      <c r="C175" t="s">
        <v>6</v>
      </c>
      <c r="D175">
        <v>-59525985088.243156</v>
      </c>
    </row>
    <row r="176" spans="1:4" x14ac:dyDescent="0.25">
      <c r="A176" t="s">
        <v>5</v>
      </c>
      <c r="B176" s="2">
        <v>44104</v>
      </c>
      <c r="C176" t="s">
        <v>6</v>
      </c>
      <c r="D176">
        <v>194898965815.84909</v>
      </c>
    </row>
    <row r="177" spans="1:4" x14ac:dyDescent="0.25">
      <c r="A177" t="s">
        <v>5</v>
      </c>
      <c r="B177" s="2">
        <v>44196</v>
      </c>
      <c r="C177" t="s">
        <v>6</v>
      </c>
      <c r="D177">
        <v>78644322893.984863</v>
      </c>
    </row>
    <row r="178" spans="1:4" x14ac:dyDescent="0.25">
      <c r="A178" t="s">
        <v>5</v>
      </c>
      <c r="B178" s="2">
        <v>44286</v>
      </c>
      <c r="C178" t="s">
        <v>6</v>
      </c>
      <c r="D178">
        <v>327658968291.99072</v>
      </c>
    </row>
    <row r="179" spans="1:4" x14ac:dyDescent="0.25">
      <c r="A179" t="s">
        <v>5</v>
      </c>
      <c r="B179" s="2">
        <v>44377</v>
      </c>
      <c r="C179" t="s">
        <v>6</v>
      </c>
      <c r="D179">
        <v>-144672092886.7822</v>
      </c>
    </row>
    <row r="180" spans="1:4" x14ac:dyDescent="0.25">
      <c r="A180" t="s">
        <v>5</v>
      </c>
      <c r="B180" s="2">
        <v>44469</v>
      </c>
      <c r="C180" t="s">
        <v>6</v>
      </c>
      <c r="D180">
        <v>100840707965.17191</v>
      </c>
    </row>
    <row r="181" spans="1:4" x14ac:dyDescent="0.25">
      <c r="A181" t="s">
        <v>5</v>
      </c>
      <c r="B181" s="2">
        <v>44561</v>
      </c>
      <c r="C181" t="s">
        <v>6</v>
      </c>
      <c r="D181">
        <v>104947254696.08501</v>
      </c>
    </row>
    <row r="182" spans="1:4" x14ac:dyDescent="0.25">
      <c r="A182" t="s">
        <v>5</v>
      </c>
      <c r="B182" s="2">
        <v>44651</v>
      </c>
      <c r="C182" t="s">
        <v>6</v>
      </c>
      <c r="D182">
        <v>107983137961.2832</v>
      </c>
    </row>
    <row r="183" spans="1:4" x14ac:dyDescent="0.25">
      <c r="A183" t="s">
        <v>5</v>
      </c>
      <c r="B183" s="2">
        <v>44742</v>
      </c>
      <c r="C183" t="s">
        <v>6</v>
      </c>
      <c r="D183">
        <v>-238403711786.87891</v>
      </c>
    </row>
    <row r="184" spans="1:4" x14ac:dyDescent="0.25">
      <c r="A184" t="s">
        <v>5</v>
      </c>
      <c r="B184" s="2">
        <v>44834</v>
      </c>
      <c r="C184" t="s">
        <v>6</v>
      </c>
      <c r="D184">
        <v>165756949581.9263</v>
      </c>
    </row>
    <row r="185" spans="1:4" x14ac:dyDescent="0.25">
      <c r="A185" t="s">
        <v>5</v>
      </c>
      <c r="B185" s="2">
        <v>44926</v>
      </c>
      <c r="C185" t="s">
        <v>6</v>
      </c>
      <c r="D185">
        <v>16201263446.697269</v>
      </c>
    </row>
    <row r="186" spans="1:4" x14ac:dyDescent="0.25">
      <c r="A186" t="s">
        <v>5</v>
      </c>
      <c r="B186" s="2">
        <v>45016</v>
      </c>
      <c r="C186" t="s">
        <v>6</v>
      </c>
      <c r="D186">
        <v>185405026240.34769</v>
      </c>
    </row>
    <row r="187" spans="1:4" x14ac:dyDescent="0.25">
      <c r="A187" t="s">
        <v>5</v>
      </c>
      <c r="B187" s="2">
        <v>45107</v>
      </c>
      <c r="C187" t="s">
        <v>6</v>
      </c>
      <c r="D187">
        <v>-44314345903.189453</v>
      </c>
    </row>
    <row r="188" spans="1:4" x14ac:dyDescent="0.25">
      <c r="A188" t="s">
        <v>5</v>
      </c>
      <c r="B188" s="2">
        <v>45199</v>
      </c>
      <c r="C188" t="s">
        <v>6</v>
      </c>
      <c r="D188">
        <v>60420715860.742188</v>
      </c>
    </row>
    <row r="189" spans="1:4" x14ac:dyDescent="0.25">
      <c r="A189" t="s">
        <v>5</v>
      </c>
      <c r="B189" s="2">
        <v>45291</v>
      </c>
      <c r="C189" t="s">
        <v>6</v>
      </c>
      <c r="D189">
        <v>-409555778.21191412</v>
      </c>
    </row>
    <row r="190" spans="1:4" x14ac:dyDescent="0.25">
      <c r="A190" t="s">
        <v>5</v>
      </c>
      <c r="B190" s="2">
        <v>45382</v>
      </c>
      <c r="C190" t="s">
        <v>6</v>
      </c>
      <c r="D190">
        <v>118577547320.0195</v>
      </c>
    </row>
    <row r="191" spans="1:4" x14ac:dyDescent="0.25">
      <c r="A191" t="s">
        <v>5</v>
      </c>
      <c r="B191" s="2">
        <v>45473</v>
      </c>
      <c r="C191" t="s">
        <v>6</v>
      </c>
      <c r="D191">
        <v>29305411054.203121</v>
      </c>
    </row>
    <row r="192" spans="1:4" x14ac:dyDescent="0.25">
      <c r="A192" t="s">
        <v>5</v>
      </c>
      <c r="B192" s="2">
        <v>45565</v>
      </c>
      <c r="C192" t="s">
        <v>6</v>
      </c>
      <c r="D192">
        <v>29841251124.300781</v>
      </c>
    </row>
    <row r="193" spans="1:4" x14ac:dyDescent="0.25">
      <c r="A193" t="s">
        <v>5</v>
      </c>
      <c r="B193" s="2">
        <v>45657</v>
      </c>
      <c r="C193" t="s">
        <v>6</v>
      </c>
      <c r="D193">
        <v>29476776246.074219</v>
      </c>
    </row>
    <row r="194" spans="1:4" x14ac:dyDescent="0.25">
      <c r="A194" t="s">
        <v>4</v>
      </c>
      <c r="B194" s="2">
        <v>36981</v>
      </c>
      <c r="C194" t="s">
        <v>7</v>
      </c>
    </row>
    <row r="195" spans="1:4" x14ac:dyDescent="0.25">
      <c r="A195" t="s">
        <v>4</v>
      </c>
      <c r="B195" s="2">
        <v>37072</v>
      </c>
      <c r="C195" t="s">
        <v>7</v>
      </c>
      <c r="D195">
        <v>-7.6014720763726673E-2</v>
      </c>
    </row>
    <row r="196" spans="1:4" x14ac:dyDescent="0.25">
      <c r="A196" t="s">
        <v>4</v>
      </c>
      <c r="B196" s="2">
        <v>37164</v>
      </c>
      <c r="C196" t="s">
        <v>7</v>
      </c>
      <c r="D196">
        <v>-7.0420001135585442E-3</v>
      </c>
    </row>
    <row r="197" spans="1:4" x14ac:dyDescent="0.25">
      <c r="A197" t="s">
        <v>4</v>
      </c>
      <c r="B197" s="2">
        <v>37256</v>
      </c>
      <c r="C197" t="s">
        <v>7</v>
      </c>
      <c r="D197">
        <v>-4.9826229503623087E-2</v>
      </c>
    </row>
    <row r="198" spans="1:4" x14ac:dyDescent="0.25">
      <c r="A198" t="s">
        <v>4</v>
      </c>
      <c r="B198" s="2">
        <v>37346</v>
      </c>
      <c r="C198" t="s">
        <v>7</v>
      </c>
      <c r="D198">
        <v>-1.61227993704911E-2</v>
      </c>
    </row>
    <row r="199" spans="1:4" x14ac:dyDescent="0.25">
      <c r="A199" t="s">
        <v>4</v>
      </c>
      <c r="B199" s="2">
        <v>37437</v>
      </c>
      <c r="C199" t="s">
        <v>7</v>
      </c>
      <c r="D199">
        <v>1.1123278467664031E-3</v>
      </c>
    </row>
    <row r="200" spans="1:4" x14ac:dyDescent="0.25">
      <c r="A200" t="s">
        <v>4</v>
      </c>
      <c r="B200" s="2">
        <v>37529</v>
      </c>
      <c r="C200" t="s">
        <v>7</v>
      </c>
      <c r="D200">
        <v>-4.6283396041826491E-2</v>
      </c>
    </row>
    <row r="201" spans="1:4" x14ac:dyDescent="0.25">
      <c r="A201" t="s">
        <v>4</v>
      </c>
      <c r="B201" s="2">
        <v>37621</v>
      </c>
      <c r="C201" t="s">
        <v>7</v>
      </c>
      <c r="D201">
        <v>-9.8514695256995133E-3</v>
      </c>
    </row>
    <row r="202" spans="1:4" x14ac:dyDescent="0.25">
      <c r="A202" t="s">
        <v>4</v>
      </c>
      <c r="B202" s="2">
        <v>37711</v>
      </c>
      <c r="C202" t="s">
        <v>7</v>
      </c>
      <c r="D202">
        <v>2.871888444720722E-3</v>
      </c>
    </row>
    <row r="203" spans="1:4" x14ac:dyDescent="0.25">
      <c r="A203" t="s">
        <v>4</v>
      </c>
      <c r="B203" s="2">
        <v>37802</v>
      </c>
      <c r="C203" t="s">
        <v>7</v>
      </c>
      <c r="D203">
        <v>3.6843167126975801E-2</v>
      </c>
    </row>
    <row r="204" spans="1:4" x14ac:dyDescent="0.25">
      <c r="A204" t="s">
        <v>4</v>
      </c>
      <c r="B204" s="2">
        <v>37894</v>
      </c>
      <c r="C204" t="s">
        <v>7</v>
      </c>
      <c r="D204">
        <v>3.6433772415659399E-2</v>
      </c>
    </row>
    <row r="205" spans="1:4" x14ac:dyDescent="0.25">
      <c r="A205" t="s">
        <v>4</v>
      </c>
      <c r="B205" s="2">
        <v>37986</v>
      </c>
      <c r="C205" t="s">
        <v>7</v>
      </c>
      <c r="D205">
        <v>-1.547763391455911E-2</v>
      </c>
    </row>
    <row r="206" spans="1:4" x14ac:dyDescent="0.25">
      <c r="A206" t="s">
        <v>4</v>
      </c>
      <c r="B206" s="2">
        <v>38077</v>
      </c>
      <c r="C206" t="s">
        <v>7</v>
      </c>
      <c r="D206">
        <v>6.3189500998834525E-2</v>
      </c>
    </row>
    <row r="207" spans="1:4" x14ac:dyDescent="0.25">
      <c r="A207" t="s">
        <v>4</v>
      </c>
      <c r="B207" s="2">
        <v>38168</v>
      </c>
      <c r="C207" t="s">
        <v>7</v>
      </c>
      <c r="D207">
        <v>0.13544736161312351</v>
      </c>
    </row>
    <row r="208" spans="1:4" x14ac:dyDescent="0.25">
      <c r="A208" t="s">
        <v>4</v>
      </c>
      <c r="B208" s="2">
        <v>38260</v>
      </c>
      <c r="C208" t="s">
        <v>7</v>
      </c>
      <c r="D208">
        <v>-0.25182344244273619</v>
      </c>
    </row>
    <row r="209" spans="1:4" x14ac:dyDescent="0.25">
      <c r="A209" t="s">
        <v>4</v>
      </c>
      <c r="B209" s="2">
        <v>38352</v>
      </c>
      <c r="C209" t="s">
        <v>7</v>
      </c>
      <c r="D209">
        <v>9.800129260290058E-4</v>
      </c>
    </row>
    <row r="210" spans="1:4" x14ac:dyDescent="0.25">
      <c r="A210" t="s">
        <v>4</v>
      </c>
      <c r="B210" s="2">
        <v>38442</v>
      </c>
      <c r="C210" t="s">
        <v>7</v>
      </c>
      <c r="D210">
        <v>3.5850839936175487E-2</v>
      </c>
    </row>
    <row r="211" spans="1:4" x14ac:dyDescent="0.25">
      <c r="A211" t="s">
        <v>4</v>
      </c>
      <c r="B211" s="2">
        <v>38533</v>
      </c>
      <c r="C211" t="s">
        <v>7</v>
      </c>
      <c r="D211">
        <v>-2.948197531398539E-2</v>
      </c>
    </row>
    <row r="212" spans="1:4" x14ac:dyDescent="0.25">
      <c r="A212" t="s">
        <v>4</v>
      </c>
      <c r="B212" s="2">
        <v>38625</v>
      </c>
      <c r="C212" t="s">
        <v>7</v>
      </c>
      <c r="D212">
        <v>4.8790365684877046E-3</v>
      </c>
    </row>
    <row r="213" spans="1:4" x14ac:dyDescent="0.25">
      <c r="A213" t="s">
        <v>4</v>
      </c>
      <c r="B213" s="2">
        <v>38717</v>
      </c>
      <c r="C213" t="s">
        <v>7</v>
      </c>
      <c r="D213">
        <v>3.5242671726963597E-2</v>
      </c>
    </row>
    <row r="214" spans="1:4" x14ac:dyDescent="0.25">
      <c r="A214" t="s">
        <v>4</v>
      </c>
      <c r="B214" s="2">
        <v>38807</v>
      </c>
      <c r="C214" t="s">
        <v>7</v>
      </c>
      <c r="D214">
        <v>-3.6835487663053723E-2</v>
      </c>
    </row>
    <row r="215" spans="1:4" x14ac:dyDescent="0.25">
      <c r="A215" t="s">
        <v>4</v>
      </c>
      <c r="B215" s="2">
        <v>38898</v>
      </c>
      <c r="C215" t="s">
        <v>7</v>
      </c>
      <c r="D215">
        <v>0.28492982111305382</v>
      </c>
    </row>
    <row r="216" spans="1:4" x14ac:dyDescent="0.25">
      <c r="A216" t="s">
        <v>4</v>
      </c>
      <c r="B216" s="2">
        <v>38990</v>
      </c>
      <c r="C216" t="s">
        <v>7</v>
      </c>
      <c r="D216">
        <v>-0.21813036128173319</v>
      </c>
    </row>
    <row r="217" spans="1:4" x14ac:dyDescent="0.25">
      <c r="A217" t="s">
        <v>4</v>
      </c>
      <c r="B217" s="2">
        <v>39082</v>
      </c>
      <c r="C217" t="s">
        <v>7</v>
      </c>
      <c r="D217">
        <v>-4.9565185788678079E-2</v>
      </c>
    </row>
    <row r="218" spans="1:4" x14ac:dyDescent="0.25">
      <c r="A218" t="s">
        <v>4</v>
      </c>
      <c r="B218" s="2">
        <v>39172</v>
      </c>
      <c r="C218" t="s">
        <v>7</v>
      </c>
      <c r="D218">
        <v>8.4602749972311708E-2</v>
      </c>
    </row>
    <row r="219" spans="1:4" x14ac:dyDescent="0.25">
      <c r="A219" t="s">
        <v>4</v>
      </c>
      <c r="B219" s="2">
        <v>39263</v>
      </c>
      <c r="C219" t="s">
        <v>7</v>
      </c>
      <c r="D219">
        <v>-5.9349049234760309E-2</v>
      </c>
    </row>
    <row r="220" spans="1:4" x14ac:dyDescent="0.25">
      <c r="A220" t="s">
        <v>4</v>
      </c>
      <c r="B220" s="2">
        <v>39355</v>
      </c>
      <c r="C220" t="s">
        <v>7</v>
      </c>
      <c r="D220">
        <v>6.6511864364533879E-2</v>
      </c>
    </row>
    <row r="221" spans="1:4" x14ac:dyDescent="0.25">
      <c r="A221" t="s">
        <v>4</v>
      </c>
      <c r="B221" s="2">
        <v>39447</v>
      </c>
      <c r="C221" t="s">
        <v>7</v>
      </c>
      <c r="D221">
        <v>5.3484434639038292E-2</v>
      </c>
    </row>
    <row r="222" spans="1:4" x14ac:dyDescent="0.25">
      <c r="A222" t="s">
        <v>4</v>
      </c>
      <c r="B222" s="2">
        <v>39538</v>
      </c>
      <c r="C222" t="s">
        <v>7</v>
      </c>
      <c r="D222">
        <v>0.1874048486747891</v>
      </c>
    </row>
    <row r="223" spans="1:4" x14ac:dyDescent="0.25">
      <c r="A223" t="s">
        <v>4</v>
      </c>
      <c r="B223" s="2">
        <v>39629</v>
      </c>
      <c r="C223" t="s">
        <v>7</v>
      </c>
      <c r="D223">
        <v>-0.2315015541297529</v>
      </c>
    </row>
    <row r="224" spans="1:4" x14ac:dyDescent="0.25">
      <c r="A224" t="s">
        <v>4</v>
      </c>
      <c r="B224" s="2">
        <v>39721</v>
      </c>
      <c r="C224" t="s">
        <v>7</v>
      </c>
      <c r="D224">
        <v>0.18810060040698229</v>
      </c>
    </row>
    <row r="225" spans="1:4" x14ac:dyDescent="0.25">
      <c r="A225" t="s">
        <v>4</v>
      </c>
      <c r="B225" s="2">
        <v>39813</v>
      </c>
      <c r="C225" t="s">
        <v>7</v>
      </c>
      <c r="D225">
        <v>0.21244426568997041</v>
      </c>
    </row>
    <row r="226" spans="1:4" x14ac:dyDescent="0.25">
      <c r="A226" t="s">
        <v>4</v>
      </c>
      <c r="B226" s="2">
        <v>39903</v>
      </c>
      <c r="C226" t="s">
        <v>7</v>
      </c>
      <c r="D226">
        <v>-0.2296007025870905</v>
      </c>
    </row>
    <row r="227" spans="1:4" x14ac:dyDescent="0.25">
      <c r="A227" t="s">
        <v>4</v>
      </c>
      <c r="B227" s="2">
        <v>39994</v>
      </c>
      <c r="C227" t="s">
        <v>7</v>
      </c>
      <c r="D227">
        <v>0.1237378242782738</v>
      </c>
    </row>
    <row r="228" spans="1:4" x14ac:dyDescent="0.25">
      <c r="A228" t="s">
        <v>4</v>
      </c>
      <c r="B228" s="2">
        <v>40086</v>
      </c>
      <c r="C228" t="s">
        <v>7</v>
      </c>
      <c r="D228">
        <v>-0.239480929983899</v>
      </c>
    </row>
    <row r="229" spans="1:4" x14ac:dyDescent="0.25">
      <c r="A229" t="s">
        <v>4</v>
      </c>
      <c r="B229" s="2">
        <v>40178</v>
      </c>
      <c r="C229" t="s">
        <v>7</v>
      </c>
      <c r="D229">
        <v>-8.0744136259802896E-2</v>
      </c>
    </row>
    <row r="230" spans="1:4" x14ac:dyDescent="0.25">
      <c r="A230" t="s">
        <v>4</v>
      </c>
      <c r="B230" s="2">
        <v>40268</v>
      </c>
      <c r="C230" t="s">
        <v>7</v>
      </c>
      <c r="D230">
        <v>-4.9710894951809581E-2</v>
      </c>
    </row>
    <row r="231" spans="1:4" x14ac:dyDescent="0.25">
      <c r="A231" t="s">
        <v>4</v>
      </c>
      <c r="B231" s="2">
        <v>40359</v>
      </c>
      <c r="C231" t="s">
        <v>7</v>
      </c>
      <c r="D231">
        <v>8.5180029393212703E-2</v>
      </c>
    </row>
    <row r="232" spans="1:4" x14ac:dyDescent="0.25">
      <c r="A232" t="s">
        <v>4</v>
      </c>
      <c r="B232" s="2">
        <v>40451</v>
      </c>
      <c r="C232" t="s">
        <v>7</v>
      </c>
      <c r="D232">
        <v>-0.13890632680481879</v>
      </c>
    </row>
    <row r="233" spans="1:4" x14ac:dyDescent="0.25">
      <c r="A233" t="s">
        <v>4</v>
      </c>
      <c r="B233" s="2">
        <v>40543</v>
      </c>
      <c r="C233" t="s">
        <v>7</v>
      </c>
      <c r="D233">
        <v>6.2367179465091821E-2</v>
      </c>
    </row>
    <row r="234" spans="1:4" x14ac:dyDescent="0.25">
      <c r="A234" t="s">
        <v>4</v>
      </c>
      <c r="B234" s="2">
        <v>40633</v>
      </c>
      <c r="C234" t="s">
        <v>7</v>
      </c>
      <c r="D234">
        <v>3.5989872478842277E-2</v>
      </c>
    </row>
    <row r="235" spans="1:4" x14ac:dyDescent="0.25">
      <c r="A235" t="s">
        <v>4</v>
      </c>
      <c r="B235" s="2">
        <v>40724</v>
      </c>
      <c r="C235" t="s">
        <v>7</v>
      </c>
      <c r="D235">
        <v>-5.8604869817150379E-2</v>
      </c>
    </row>
    <row r="236" spans="1:4" x14ac:dyDescent="0.25">
      <c r="A236" t="s">
        <v>4</v>
      </c>
      <c r="B236" s="2">
        <v>40816</v>
      </c>
      <c r="C236" t="s">
        <v>7</v>
      </c>
      <c r="D236">
        <v>8.761701760922927E-2</v>
      </c>
    </row>
    <row r="237" spans="1:4" x14ac:dyDescent="0.25">
      <c r="A237" t="s">
        <v>4</v>
      </c>
      <c r="B237" s="2">
        <v>40908</v>
      </c>
      <c r="C237" t="s">
        <v>7</v>
      </c>
      <c r="D237">
        <v>2.5454583578613521E-2</v>
      </c>
    </row>
    <row r="238" spans="1:4" x14ac:dyDescent="0.25">
      <c r="A238" t="s">
        <v>4</v>
      </c>
      <c r="B238" s="2">
        <v>40999</v>
      </c>
      <c r="C238" t="s">
        <v>7</v>
      </c>
      <c r="D238">
        <v>-4.5122224946185618E-2</v>
      </c>
    </row>
    <row r="239" spans="1:4" x14ac:dyDescent="0.25">
      <c r="A239" t="s">
        <v>4</v>
      </c>
      <c r="B239" s="2">
        <v>41090</v>
      </c>
      <c r="C239" t="s">
        <v>7</v>
      </c>
      <c r="D239">
        <v>-3.3318328545661691E-2</v>
      </c>
    </row>
    <row r="240" spans="1:4" x14ac:dyDescent="0.25">
      <c r="A240" t="s">
        <v>4</v>
      </c>
      <c r="B240" s="2">
        <v>41182</v>
      </c>
      <c r="C240" t="s">
        <v>7</v>
      </c>
      <c r="D240">
        <v>-2.1385310288581288E-2</v>
      </c>
    </row>
    <row r="241" spans="1:4" x14ac:dyDescent="0.25">
      <c r="A241" t="s">
        <v>4</v>
      </c>
      <c r="B241" s="2">
        <v>41274</v>
      </c>
      <c r="C241" t="s">
        <v>7</v>
      </c>
      <c r="D241">
        <v>-3.4303764556727401E-2</v>
      </c>
    </row>
    <row r="242" spans="1:4" x14ac:dyDescent="0.25">
      <c r="A242" t="s">
        <v>4</v>
      </c>
      <c r="B242" s="2">
        <v>41364</v>
      </c>
      <c r="C242" t="s">
        <v>7</v>
      </c>
      <c r="D242">
        <v>-1.549536113953459E-2</v>
      </c>
    </row>
    <row r="243" spans="1:4" x14ac:dyDescent="0.25">
      <c r="A243" t="s">
        <v>4</v>
      </c>
      <c r="B243" s="2">
        <v>41455</v>
      </c>
      <c r="C243" t="s">
        <v>7</v>
      </c>
      <c r="D243">
        <v>8.8493631428154779E-2</v>
      </c>
    </row>
    <row r="244" spans="1:4" x14ac:dyDescent="0.25">
      <c r="A244" t="s">
        <v>4</v>
      </c>
      <c r="B244" s="2">
        <v>41547</v>
      </c>
      <c r="C244" t="s">
        <v>7</v>
      </c>
      <c r="D244">
        <v>0.11694142238134</v>
      </c>
    </row>
    <row r="245" spans="1:4" x14ac:dyDescent="0.25">
      <c r="A245" t="s">
        <v>4</v>
      </c>
      <c r="B245" s="2">
        <v>41639</v>
      </c>
      <c r="C245" t="s">
        <v>7</v>
      </c>
      <c r="D245">
        <v>-0.17319082209562689</v>
      </c>
    </row>
    <row r="246" spans="1:4" x14ac:dyDescent="0.25">
      <c r="A246" t="s">
        <v>4</v>
      </c>
      <c r="B246" s="2">
        <v>41729</v>
      </c>
      <c r="C246" t="s">
        <v>7</v>
      </c>
      <c r="D246">
        <v>-3.1755223439058511E-2</v>
      </c>
    </row>
    <row r="247" spans="1:4" x14ac:dyDescent="0.25">
      <c r="A247" t="s">
        <v>4</v>
      </c>
      <c r="B247" s="2">
        <v>41820</v>
      </c>
      <c r="C247" t="s">
        <v>7</v>
      </c>
      <c r="D247">
        <v>1.9151759568025171E-3</v>
      </c>
    </row>
    <row r="248" spans="1:4" x14ac:dyDescent="0.25">
      <c r="A248" t="s">
        <v>4</v>
      </c>
      <c r="B248" s="2">
        <v>41912</v>
      </c>
      <c r="C248" t="s">
        <v>7</v>
      </c>
      <c r="D248">
        <v>3.1158923886639989E-4</v>
      </c>
    </row>
    <row r="249" spans="1:4" x14ac:dyDescent="0.25">
      <c r="A249" t="s">
        <v>4</v>
      </c>
      <c r="B249" s="2">
        <v>42004</v>
      </c>
      <c r="C249" t="s">
        <v>7</v>
      </c>
      <c r="D249">
        <v>-2.5199151963926081E-3</v>
      </c>
    </row>
    <row r="250" spans="1:4" x14ac:dyDescent="0.25">
      <c r="A250" t="s">
        <v>4</v>
      </c>
      <c r="B250" s="2">
        <v>42094</v>
      </c>
      <c r="C250" t="s">
        <v>7</v>
      </c>
      <c r="D250">
        <v>2.3132207071191489E-2</v>
      </c>
    </row>
    <row r="251" spans="1:4" x14ac:dyDescent="0.25">
      <c r="A251" t="s">
        <v>4</v>
      </c>
      <c r="B251" s="2">
        <v>42185</v>
      </c>
      <c r="C251" t="s">
        <v>7</v>
      </c>
      <c r="D251">
        <v>1.732557172038221E-2</v>
      </c>
    </row>
    <row r="252" spans="1:4" x14ac:dyDescent="0.25">
      <c r="A252" t="s">
        <v>4</v>
      </c>
      <c r="B252" s="2">
        <v>42277</v>
      </c>
      <c r="C252" t="s">
        <v>7</v>
      </c>
      <c r="D252">
        <v>3.8749360595988797E-2</v>
      </c>
    </row>
    <row r="253" spans="1:4" x14ac:dyDescent="0.25">
      <c r="A253" t="s">
        <v>4</v>
      </c>
      <c r="B253" s="2">
        <v>42369</v>
      </c>
      <c r="C253" t="s">
        <v>7</v>
      </c>
      <c r="D253">
        <v>-8.8179642478708187E-2</v>
      </c>
    </row>
    <row r="254" spans="1:4" x14ac:dyDescent="0.25">
      <c r="A254" t="s">
        <v>4</v>
      </c>
      <c r="B254" s="2">
        <v>42460</v>
      </c>
      <c r="C254" t="s">
        <v>7</v>
      </c>
      <c r="D254">
        <v>8.1220033375524497E-2</v>
      </c>
    </row>
    <row r="255" spans="1:4" x14ac:dyDescent="0.25">
      <c r="A255" t="s">
        <v>4</v>
      </c>
      <c r="B255" s="2">
        <v>42551</v>
      </c>
      <c r="C255" t="s">
        <v>7</v>
      </c>
      <c r="D255">
        <v>-6.7523720763116302E-2</v>
      </c>
    </row>
    <row r="256" spans="1:4" x14ac:dyDescent="0.25">
      <c r="A256" t="s">
        <v>4</v>
      </c>
      <c r="B256" s="2">
        <v>42643</v>
      </c>
      <c r="C256" t="s">
        <v>7</v>
      </c>
      <c r="D256">
        <v>-2.3562102124497299E-2</v>
      </c>
    </row>
    <row r="257" spans="1:4" x14ac:dyDescent="0.25">
      <c r="A257" t="s">
        <v>4</v>
      </c>
      <c r="B257" s="2">
        <v>42735</v>
      </c>
      <c r="C257" t="s">
        <v>7</v>
      </c>
      <c r="D257">
        <v>4.6314115419651997E-2</v>
      </c>
    </row>
    <row r="258" spans="1:4" x14ac:dyDescent="0.25">
      <c r="A258" t="s">
        <v>4</v>
      </c>
      <c r="B258" s="2">
        <v>42825</v>
      </c>
      <c r="C258" t="s">
        <v>7</v>
      </c>
      <c r="D258">
        <v>-6.7425390649503703E-2</v>
      </c>
    </row>
    <row r="259" spans="1:4" x14ac:dyDescent="0.25">
      <c r="A259" t="s">
        <v>4</v>
      </c>
      <c r="B259" s="2">
        <v>42916</v>
      </c>
      <c r="C259" t="s">
        <v>7</v>
      </c>
      <c r="D259">
        <v>-5.9291790309111969E-3</v>
      </c>
    </row>
    <row r="260" spans="1:4" x14ac:dyDescent="0.25">
      <c r="A260" t="s">
        <v>4</v>
      </c>
      <c r="B260" s="2">
        <v>43008</v>
      </c>
      <c r="C260" t="s">
        <v>7</v>
      </c>
      <c r="D260">
        <v>1.45500132245508E-2</v>
      </c>
    </row>
    <row r="261" spans="1:4" x14ac:dyDescent="0.25">
      <c r="A261" t="s">
        <v>4</v>
      </c>
      <c r="B261" s="2">
        <v>43100</v>
      </c>
      <c r="C261" t="s">
        <v>7</v>
      </c>
      <c r="D261">
        <v>-4.7472633248756002E-3</v>
      </c>
    </row>
    <row r="262" spans="1:4" x14ac:dyDescent="0.25">
      <c r="A262" t="s">
        <v>4</v>
      </c>
      <c r="B262" s="2">
        <v>43190</v>
      </c>
      <c r="C262" t="s">
        <v>7</v>
      </c>
      <c r="D262">
        <v>2.9236299128259119E-2</v>
      </c>
    </row>
    <row r="263" spans="1:4" x14ac:dyDescent="0.25">
      <c r="A263" t="s">
        <v>4</v>
      </c>
      <c r="B263" s="2">
        <v>43281</v>
      </c>
      <c r="C263" t="s">
        <v>7</v>
      </c>
      <c r="D263">
        <v>-8.8789998374543266E-3</v>
      </c>
    </row>
    <row r="264" spans="1:4" x14ac:dyDescent="0.25">
      <c r="A264" t="s">
        <v>4</v>
      </c>
      <c r="B264" s="2">
        <v>43373</v>
      </c>
      <c r="C264" t="s">
        <v>7</v>
      </c>
      <c r="D264">
        <v>1.4845304695814019E-2</v>
      </c>
    </row>
    <row r="265" spans="1:4" x14ac:dyDescent="0.25">
      <c r="A265" t="s">
        <v>4</v>
      </c>
      <c r="B265" s="2">
        <v>43465</v>
      </c>
      <c r="C265" t="s">
        <v>7</v>
      </c>
      <c r="D265">
        <v>6.975270331981348E-2</v>
      </c>
    </row>
    <row r="266" spans="1:4" x14ac:dyDescent="0.25">
      <c r="A266" t="s">
        <v>4</v>
      </c>
      <c r="B266" s="2">
        <v>43555</v>
      </c>
      <c r="C266" t="s">
        <v>7</v>
      </c>
      <c r="D266">
        <v>-9.2021497923237883E-2</v>
      </c>
    </row>
    <row r="267" spans="1:4" x14ac:dyDescent="0.25">
      <c r="A267" t="s">
        <v>4</v>
      </c>
      <c r="B267" s="2">
        <v>43646</v>
      </c>
      <c r="C267" t="s">
        <v>7</v>
      </c>
      <c r="D267">
        <v>4.1826371053596101E-2</v>
      </c>
    </row>
    <row r="268" spans="1:4" x14ac:dyDescent="0.25">
      <c r="A268" t="s">
        <v>4</v>
      </c>
      <c r="B268" s="2">
        <v>43738</v>
      </c>
      <c r="C268" t="s">
        <v>7</v>
      </c>
      <c r="D268">
        <v>3.7183280530974798E-2</v>
      </c>
    </row>
    <row r="269" spans="1:4" x14ac:dyDescent="0.25">
      <c r="A269" t="s">
        <v>4</v>
      </c>
      <c r="B269" s="2">
        <v>43830</v>
      </c>
      <c r="C269" t="s">
        <v>7</v>
      </c>
      <c r="D269">
        <v>-9.9444845067581014E-2</v>
      </c>
    </row>
    <row r="270" spans="1:4" x14ac:dyDescent="0.25">
      <c r="A270" t="s">
        <v>4</v>
      </c>
      <c r="B270" s="2">
        <v>43921</v>
      </c>
      <c r="C270" t="s">
        <v>7</v>
      </c>
      <c r="D270">
        <v>0.40494117218486569</v>
      </c>
    </row>
    <row r="271" spans="1:4" x14ac:dyDescent="0.25">
      <c r="A271" t="s">
        <v>4</v>
      </c>
      <c r="B271" s="2">
        <v>44012</v>
      </c>
      <c r="C271" t="s">
        <v>7</v>
      </c>
      <c r="D271">
        <v>-0.17700875983786091</v>
      </c>
    </row>
    <row r="272" spans="1:4" x14ac:dyDescent="0.25">
      <c r="A272" t="s">
        <v>4</v>
      </c>
      <c r="B272" s="2">
        <v>44104</v>
      </c>
      <c r="C272" t="s">
        <v>7</v>
      </c>
      <c r="D272">
        <v>-0.1535341178660784</v>
      </c>
    </row>
    <row r="273" spans="1:4" x14ac:dyDescent="0.25">
      <c r="A273" t="s">
        <v>4</v>
      </c>
      <c r="B273" s="2">
        <v>44196</v>
      </c>
      <c r="C273" t="s">
        <v>7</v>
      </c>
      <c r="D273">
        <v>-3.3525287282089117E-2</v>
      </c>
    </row>
    <row r="274" spans="1:4" x14ac:dyDescent="0.25">
      <c r="A274" t="s">
        <v>4</v>
      </c>
      <c r="B274" s="2">
        <v>44286</v>
      </c>
      <c r="C274" t="s">
        <v>7</v>
      </c>
      <c r="D274">
        <v>6.8969644598202817E-2</v>
      </c>
    </row>
    <row r="275" spans="1:4" x14ac:dyDescent="0.25">
      <c r="A275" t="s">
        <v>4</v>
      </c>
      <c r="B275" s="2">
        <v>44377</v>
      </c>
      <c r="C275" t="s">
        <v>7</v>
      </c>
      <c r="D275">
        <v>-6.3819814537597414E-2</v>
      </c>
    </row>
    <row r="276" spans="1:4" x14ac:dyDescent="0.25">
      <c r="A276" t="s">
        <v>4</v>
      </c>
      <c r="B276" s="2">
        <v>44469</v>
      </c>
      <c r="C276" t="s">
        <v>7</v>
      </c>
      <c r="D276">
        <v>-3.5744513508106902E-2</v>
      </c>
    </row>
    <row r="277" spans="1:4" x14ac:dyDescent="0.25">
      <c r="A277" t="s">
        <v>4</v>
      </c>
      <c r="B277" s="2">
        <v>44561</v>
      </c>
      <c r="C277" t="s">
        <v>7</v>
      </c>
      <c r="D277">
        <v>5.4626970193174203E-2</v>
      </c>
    </row>
    <row r="278" spans="1:4" x14ac:dyDescent="0.25">
      <c r="A278" t="s">
        <v>4</v>
      </c>
      <c r="B278" s="2">
        <v>44651</v>
      </c>
      <c r="C278" t="s">
        <v>7</v>
      </c>
      <c r="D278">
        <v>8.4438381415580493E-2</v>
      </c>
    </row>
    <row r="279" spans="1:4" x14ac:dyDescent="0.25">
      <c r="A279" t="s">
        <v>4</v>
      </c>
      <c r="B279" s="2">
        <v>44742</v>
      </c>
      <c r="C279" t="s">
        <v>7</v>
      </c>
      <c r="D279">
        <v>-4.2629327580735399E-2</v>
      </c>
    </row>
    <row r="280" spans="1:4" x14ac:dyDescent="0.25">
      <c r="A280" t="s">
        <v>4</v>
      </c>
      <c r="B280" s="2">
        <v>44834</v>
      </c>
      <c r="C280" t="s">
        <v>7</v>
      </c>
      <c r="D280">
        <v>-4.326313828015349E-2</v>
      </c>
    </row>
    <row r="281" spans="1:4" x14ac:dyDescent="0.25">
      <c r="A281" t="s">
        <v>4</v>
      </c>
      <c r="B281" s="2">
        <v>44926</v>
      </c>
      <c r="C281" t="s">
        <v>7</v>
      </c>
      <c r="D281">
        <v>-2.03926636353686E-2</v>
      </c>
    </row>
    <row r="282" spans="1:4" x14ac:dyDescent="0.25">
      <c r="A282" t="s">
        <v>4</v>
      </c>
      <c r="B282" s="2">
        <v>45016</v>
      </c>
      <c r="C282" t="s">
        <v>7</v>
      </c>
      <c r="D282">
        <v>-1.679557210101509E-2</v>
      </c>
    </row>
    <row r="283" spans="1:4" x14ac:dyDescent="0.25">
      <c r="A283" t="s">
        <v>4</v>
      </c>
      <c r="B283" s="2">
        <v>45107</v>
      </c>
      <c r="C283" t="s">
        <v>7</v>
      </c>
      <c r="D283">
        <v>-5.2996867807487719E-2</v>
      </c>
    </row>
    <row r="284" spans="1:4" x14ac:dyDescent="0.25">
      <c r="A284" t="s">
        <v>4</v>
      </c>
      <c r="B284" s="2">
        <v>45199</v>
      </c>
      <c r="C284" t="s">
        <v>7</v>
      </c>
      <c r="D284">
        <v>6.5591290529549836E-3</v>
      </c>
    </row>
    <row r="285" spans="1:4" x14ac:dyDescent="0.25">
      <c r="A285" t="s">
        <v>4</v>
      </c>
      <c r="B285" s="2">
        <v>45291</v>
      </c>
      <c r="C285" t="s">
        <v>7</v>
      </c>
      <c r="D285">
        <v>2.432956712143752E-2</v>
      </c>
    </row>
    <row r="286" spans="1:4" x14ac:dyDescent="0.25">
      <c r="A286" t="s">
        <v>4</v>
      </c>
      <c r="B286" s="2">
        <v>45382</v>
      </c>
      <c r="C286" t="s">
        <v>7</v>
      </c>
      <c r="D286">
        <v>1.9472245996683919E-2</v>
      </c>
    </row>
    <row r="287" spans="1:4" x14ac:dyDescent="0.25">
      <c r="A287" t="s">
        <v>4</v>
      </c>
      <c r="B287" s="2">
        <v>45473</v>
      </c>
      <c r="C287" t="s">
        <v>7</v>
      </c>
      <c r="D287">
        <v>7.1264057497550992E-2</v>
      </c>
    </row>
    <row r="288" spans="1:4" x14ac:dyDescent="0.25">
      <c r="A288" t="s">
        <v>4</v>
      </c>
      <c r="B288" s="2">
        <v>45565</v>
      </c>
      <c r="C288" t="s">
        <v>7</v>
      </c>
      <c r="D288">
        <v>-7.5383004445980811E-2</v>
      </c>
    </row>
    <row r="289" spans="1:4" x14ac:dyDescent="0.25">
      <c r="A289" t="s">
        <v>4</v>
      </c>
      <c r="B289" s="2">
        <v>45657</v>
      </c>
      <c r="C289" t="s">
        <v>7</v>
      </c>
      <c r="D289">
        <v>8.1300079165116113E-3</v>
      </c>
    </row>
    <row r="290" spans="1:4" x14ac:dyDescent="0.25">
      <c r="A290" t="s">
        <v>5</v>
      </c>
      <c r="B290" s="2">
        <v>36981</v>
      </c>
      <c r="C290" t="s">
        <v>7</v>
      </c>
    </row>
    <row r="291" spans="1:4" x14ac:dyDescent="0.25">
      <c r="A291" t="s">
        <v>5</v>
      </c>
      <c r="B291" s="2">
        <v>37072</v>
      </c>
      <c r="C291" t="s">
        <v>7</v>
      </c>
      <c r="D291">
        <v>4.2515081182453618E-2</v>
      </c>
    </row>
    <row r="292" spans="1:4" x14ac:dyDescent="0.25">
      <c r="A292" t="s">
        <v>5</v>
      </c>
      <c r="B292" s="2">
        <v>37164</v>
      </c>
      <c r="C292" t="s">
        <v>7</v>
      </c>
      <c r="D292">
        <v>2.9219450924158789E-2</v>
      </c>
    </row>
    <row r="293" spans="1:4" x14ac:dyDescent="0.25">
      <c r="A293" t="s">
        <v>5</v>
      </c>
      <c r="B293" s="2">
        <v>37256</v>
      </c>
      <c r="C293" t="s">
        <v>7</v>
      </c>
      <c r="D293">
        <v>-8.6253534239445873E-2</v>
      </c>
    </row>
    <row r="294" spans="1:4" x14ac:dyDescent="0.25">
      <c r="A294" t="s">
        <v>5</v>
      </c>
      <c r="B294" s="2">
        <v>37346</v>
      </c>
      <c r="C294" t="s">
        <v>7</v>
      </c>
      <c r="D294">
        <v>-9.4630080716878395E-2</v>
      </c>
    </row>
    <row r="295" spans="1:4" x14ac:dyDescent="0.25">
      <c r="A295" t="s">
        <v>5</v>
      </c>
      <c r="B295" s="2">
        <v>37437</v>
      </c>
      <c r="C295" t="s">
        <v>7</v>
      </c>
      <c r="D295">
        <v>-8.4667896895517625E-2</v>
      </c>
    </row>
    <row r="296" spans="1:4" x14ac:dyDescent="0.25">
      <c r="A296" t="s">
        <v>5</v>
      </c>
      <c r="B296" s="2">
        <v>37529</v>
      </c>
      <c r="C296" t="s">
        <v>7</v>
      </c>
      <c r="D296">
        <v>5.5686391896682397E-2</v>
      </c>
    </row>
    <row r="297" spans="1:4" x14ac:dyDescent="0.25">
      <c r="A297" t="s">
        <v>5</v>
      </c>
      <c r="B297" s="2">
        <v>37621</v>
      </c>
      <c r="C297" t="s">
        <v>7</v>
      </c>
      <c r="D297">
        <v>-3.7625089715268012E-4</v>
      </c>
    </row>
    <row r="298" spans="1:4" x14ac:dyDescent="0.25">
      <c r="A298" t="s">
        <v>5</v>
      </c>
      <c r="B298" s="2">
        <v>37711</v>
      </c>
      <c r="C298" t="s">
        <v>7</v>
      </c>
      <c r="D298">
        <v>-4.6690481996777923E-2</v>
      </c>
    </row>
    <row r="299" spans="1:4" x14ac:dyDescent="0.25">
      <c r="A299" t="s">
        <v>5</v>
      </c>
      <c r="B299" s="2">
        <v>37802</v>
      </c>
      <c r="C299" t="s">
        <v>7</v>
      </c>
      <c r="D299">
        <v>2.6286587860195221E-2</v>
      </c>
    </row>
    <row r="300" spans="1:4" x14ac:dyDescent="0.25">
      <c r="A300" t="s">
        <v>5</v>
      </c>
      <c r="B300" s="2">
        <v>37894</v>
      </c>
      <c r="C300" t="s">
        <v>7</v>
      </c>
      <c r="D300">
        <v>5.0752914151002471E-2</v>
      </c>
    </row>
    <row r="301" spans="1:4" x14ac:dyDescent="0.25">
      <c r="A301" t="s">
        <v>5</v>
      </c>
      <c r="B301" s="2">
        <v>37986</v>
      </c>
      <c r="C301" t="s">
        <v>7</v>
      </c>
      <c r="D301">
        <v>6.4134070980054192E-4</v>
      </c>
    </row>
    <row r="302" spans="1:4" x14ac:dyDescent="0.25">
      <c r="A302" t="s">
        <v>5</v>
      </c>
      <c r="B302" s="2">
        <v>38077</v>
      </c>
      <c r="C302" t="s">
        <v>7</v>
      </c>
      <c r="D302">
        <v>2.7341042696852062E-2</v>
      </c>
    </row>
    <row r="303" spans="1:4" x14ac:dyDescent="0.25">
      <c r="A303" t="s">
        <v>5</v>
      </c>
      <c r="B303" s="2">
        <v>38168</v>
      </c>
      <c r="C303" t="s">
        <v>7</v>
      </c>
      <c r="D303">
        <v>0.1006167834177686</v>
      </c>
    </row>
    <row r="304" spans="1:4" x14ac:dyDescent="0.25">
      <c r="A304" t="s">
        <v>5</v>
      </c>
      <c r="B304" s="2">
        <v>38260</v>
      </c>
      <c r="C304" t="s">
        <v>7</v>
      </c>
      <c r="D304">
        <v>-0.1978557637512918</v>
      </c>
    </row>
    <row r="305" spans="1:4" x14ac:dyDescent="0.25">
      <c r="A305" t="s">
        <v>5</v>
      </c>
      <c r="B305" s="2">
        <v>38352</v>
      </c>
      <c r="C305" t="s">
        <v>7</v>
      </c>
      <c r="D305">
        <v>-1.6588218563243801E-2</v>
      </c>
    </row>
    <row r="306" spans="1:4" x14ac:dyDescent="0.25">
      <c r="A306" t="s">
        <v>5</v>
      </c>
      <c r="B306" s="2">
        <v>38442</v>
      </c>
      <c r="C306" t="s">
        <v>7</v>
      </c>
      <c r="D306">
        <v>-1.165827798079219E-2</v>
      </c>
    </row>
    <row r="307" spans="1:4" x14ac:dyDescent="0.25">
      <c r="A307" t="s">
        <v>5</v>
      </c>
      <c r="B307" s="2">
        <v>38533</v>
      </c>
      <c r="C307" t="s">
        <v>7</v>
      </c>
      <c r="D307">
        <v>-1.009223426407529E-2</v>
      </c>
    </row>
    <row r="308" spans="1:4" x14ac:dyDescent="0.25">
      <c r="A308" t="s">
        <v>5</v>
      </c>
      <c r="B308" s="2">
        <v>38625</v>
      </c>
      <c r="C308" t="s">
        <v>7</v>
      </c>
      <c r="D308">
        <v>2.2556180727084599E-2</v>
      </c>
    </row>
    <row r="309" spans="1:4" x14ac:dyDescent="0.25">
      <c r="A309" t="s">
        <v>5</v>
      </c>
      <c r="B309" s="2">
        <v>38717</v>
      </c>
      <c r="C309" t="s">
        <v>7</v>
      </c>
      <c r="D309">
        <v>-9.1993890691096092E-3</v>
      </c>
    </row>
    <row r="310" spans="1:4" x14ac:dyDescent="0.25">
      <c r="A310" t="s">
        <v>5</v>
      </c>
      <c r="B310" s="2">
        <v>38807</v>
      </c>
      <c r="C310" t="s">
        <v>7</v>
      </c>
      <c r="D310">
        <v>2.8367133917420791E-2</v>
      </c>
    </row>
    <row r="311" spans="1:4" x14ac:dyDescent="0.25">
      <c r="A311" t="s">
        <v>5</v>
      </c>
      <c r="B311" s="2">
        <v>38898</v>
      </c>
      <c r="C311" t="s">
        <v>7</v>
      </c>
      <c r="D311">
        <v>0.1059472773283579</v>
      </c>
    </row>
    <row r="312" spans="1:4" x14ac:dyDescent="0.25">
      <c r="A312" t="s">
        <v>5</v>
      </c>
      <c r="B312" s="2">
        <v>38990</v>
      </c>
      <c r="C312" t="s">
        <v>7</v>
      </c>
      <c r="D312">
        <v>-0.14843349328121011</v>
      </c>
    </row>
    <row r="313" spans="1:4" x14ac:dyDescent="0.25">
      <c r="A313" t="s">
        <v>5</v>
      </c>
      <c r="B313" s="2">
        <v>39082</v>
      </c>
      <c r="C313" t="s">
        <v>7</v>
      </c>
      <c r="D313">
        <v>5.4429230865455168E-2</v>
      </c>
    </row>
    <row r="314" spans="1:4" x14ac:dyDescent="0.25">
      <c r="A314" t="s">
        <v>5</v>
      </c>
      <c r="B314" s="2">
        <v>39172</v>
      </c>
      <c r="C314" t="s">
        <v>7</v>
      </c>
      <c r="D314">
        <v>6.2955034007688232E-2</v>
      </c>
    </row>
    <row r="315" spans="1:4" x14ac:dyDescent="0.25">
      <c r="A315" t="s">
        <v>5</v>
      </c>
      <c r="B315" s="2">
        <v>39263</v>
      </c>
      <c r="C315" t="s">
        <v>7</v>
      </c>
      <c r="D315">
        <v>-5.4837916393476398E-2</v>
      </c>
    </row>
    <row r="316" spans="1:4" x14ac:dyDescent="0.25">
      <c r="A316" t="s">
        <v>5</v>
      </c>
      <c r="B316" s="2">
        <v>39355</v>
      </c>
      <c r="C316" t="s">
        <v>7</v>
      </c>
      <c r="D316">
        <v>0.16702035106287019</v>
      </c>
    </row>
    <row r="317" spans="1:4" x14ac:dyDescent="0.25">
      <c r="A317" t="s">
        <v>5</v>
      </c>
      <c r="B317" s="2">
        <v>39447</v>
      </c>
      <c r="C317" t="s">
        <v>7</v>
      </c>
      <c r="D317">
        <v>5.561177090070113E-2</v>
      </c>
    </row>
    <row r="318" spans="1:4" x14ac:dyDescent="0.25">
      <c r="A318" t="s">
        <v>5</v>
      </c>
      <c r="B318" s="2">
        <v>39538</v>
      </c>
      <c r="C318" t="s">
        <v>7</v>
      </c>
      <c r="D318">
        <v>0.14666355295291009</v>
      </c>
    </row>
    <row r="319" spans="1:4" x14ac:dyDescent="0.25">
      <c r="A319" t="s">
        <v>5</v>
      </c>
      <c r="B319" s="2">
        <v>39629</v>
      </c>
      <c r="C319" t="s">
        <v>7</v>
      </c>
      <c r="D319">
        <v>-0.2689686038832883</v>
      </c>
    </row>
    <row r="320" spans="1:4" x14ac:dyDescent="0.25">
      <c r="A320" t="s">
        <v>5</v>
      </c>
      <c r="B320" s="2">
        <v>39721</v>
      </c>
      <c r="C320" t="s">
        <v>7</v>
      </c>
      <c r="D320">
        <v>0.16688451217735439</v>
      </c>
    </row>
    <row r="321" spans="1:4" x14ac:dyDescent="0.25">
      <c r="A321" t="s">
        <v>5</v>
      </c>
      <c r="B321" s="2">
        <v>39813</v>
      </c>
      <c r="C321" t="s">
        <v>7</v>
      </c>
      <c r="D321">
        <v>0.35195393601277641</v>
      </c>
    </row>
    <row r="322" spans="1:4" x14ac:dyDescent="0.25">
      <c r="A322" t="s">
        <v>5</v>
      </c>
      <c r="B322" s="2">
        <v>39903</v>
      </c>
      <c r="C322" t="s">
        <v>7</v>
      </c>
      <c r="D322">
        <v>-0.3939620253562004</v>
      </c>
    </row>
    <row r="323" spans="1:4" x14ac:dyDescent="0.25">
      <c r="A323" t="s">
        <v>5</v>
      </c>
      <c r="B323" s="2">
        <v>39994</v>
      </c>
      <c r="C323" t="s">
        <v>7</v>
      </c>
      <c r="D323">
        <v>-7.7316380232535176E-2</v>
      </c>
    </row>
    <row r="324" spans="1:4" x14ac:dyDescent="0.25">
      <c r="A324" t="s">
        <v>5</v>
      </c>
      <c r="B324" s="2">
        <v>40086</v>
      </c>
      <c r="C324" t="s">
        <v>7</v>
      </c>
      <c r="D324">
        <v>-7.3877657156122711E-2</v>
      </c>
    </row>
    <row r="325" spans="1:4" x14ac:dyDescent="0.25">
      <c r="A325" t="s">
        <v>5</v>
      </c>
      <c r="B325" s="2">
        <v>40178</v>
      </c>
      <c r="C325" t="s">
        <v>7</v>
      </c>
      <c r="D325">
        <v>-4.9456807487339799E-2</v>
      </c>
    </row>
    <row r="326" spans="1:4" x14ac:dyDescent="0.25">
      <c r="A326" t="s">
        <v>5</v>
      </c>
      <c r="B326" s="2">
        <v>40268</v>
      </c>
      <c r="C326" t="s">
        <v>7</v>
      </c>
      <c r="D326">
        <v>-1.8423025853780969E-5</v>
      </c>
    </row>
    <row r="327" spans="1:4" x14ac:dyDescent="0.25">
      <c r="A327" t="s">
        <v>5</v>
      </c>
      <c r="B327" s="2">
        <v>40359</v>
      </c>
      <c r="C327" t="s">
        <v>7</v>
      </c>
      <c r="D327">
        <v>1.9763885072462069E-2</v>
      </c>
    </row>
    <row r="328" spans="1:4" x14ac:dyDescent="0.25">
      <c r="A328" t="s">
        <v>5</v>
      </c>
      <c r="B328" s="2">
        <v>40451</v>
      </c>
      <c r="C328" t="s">
        <v>7</v>
      </c>
      <c r="D328">
        <v>-0.1027554988224146</v>
      </c>
    </row>
    <row r="329" spans="1:4" x14ac:dyDescent="0.25">
      <c r="A329" t="s">
        <v>5</v>
      </c>
      <c r="B329" s="2">
        <v>40543</v>
      </c>
      <c r="C329" t="s">
        <v>7</v>
      </c>
      <c r="D329">
        <v>3.5514337827082298E-2</v>
      </c>
    </row>
    <row r="330" spans="1:4" x14ac:dyDescent="0.25">
      <c r="A330" t="s">
        <v>5</v>
      </c>
      <c r="B330" s="2">
        <v>40633</v>
      </c>
      <c r="C330" t="s">
        <v>7</v>
      </c>
      <c r="D330">
        <v>6.0715855117718931E-3</v>
      </c>
    </row>
    <row r="331" spans="1:4" x14ac:dyDescent="0.25">
      <c r="A331" t="s">
        <v>5</v>
      </c>
      <c r="B331" s="2">
        <v>40724</v>
      </c>
      <c r="C331" t="s">
        <v>7</v>
      </c>
      <c r="D331">
        <v>-3.7026113848749487E-2</v>
      </c>
    </row>
    <row r="332" spans="1:4" x14ac:dyDescent="0.25">
      <c r="A332" t="s">
        <v>5</v>
      </c>
      <c r="B332" s="2">
        <v>40816</v>
      </c>
      <c r="C332" t="s">
        <v>7</v>
      </c>
      <c r="D332">
        <v>0.1881919964374055</v>
      </c>
    </row>
    <row r="333" spans="1:4" x14ac:dyDescent="0.25">
      <c r="A333" t="s">
        <v>5</v>
      </c>
      <c r="B333" s="2">
        <v>40908</v>
      </c>
      <c r="C333" t="s">
        <v>7</v>
      </c>
      <c r="D333">
        <v>3.8679166404946508E-2</v>
      </c>
    </row>
    <row r="334" spans="1:4" x14ac:dyDescent="0.25">
      <c r="A334" t="s">
        <v>5</v>
      </c>
      <c r="B334" s="2">
        <v>40999</v>
      </c>
      <c r="C334" t="s">
        <v>7</v>
      </c>
      <c r="D334">
        <v>-0.17397372508398459</v>
      </c>
    </row>
    <row r="335" spans="1:4" x14ac:dyDescent="0.25">
      <c r="A335" t="s">
        <v>5</v>
      </c>
      <c r="B335" s="2">
        <v>41090</v>
      </c>
      <c r="C335" t="s">
        <v>7</v>
      </c>
      <c r="D335">
        <v>-5.3745367318774884E-3</v>
      </c>
    </row>
    <row r="336" spans="1:4" x14ac:dyDescent="0.25">
      <c r="A336" t="s">
        <v>5</v>
      </c>
      <c r="B336" s="2">
        <v>41182</v>
      </c>
      <c r="C336" t="s">
        <v>7</v>
      </c>
      <c r="D336">
        <v>-1.7408178519579511E-2</v>
      </c>
    </row>
    <row r="337" spans="1:4" x14ac:dyDescent="0.25">
      <c r="A337" t="s">
        <v>5</v>
      </c>
      <c r="B337" s="2">
        <v>41274</v>
      </c>
      <c r="C337" t="s">
        <v>7</v>
      </c>
      <c r="D337">
        <v>-4.6460124415704879E-2</v>
      </c>
    </row>
    <row r="338" spans="1:4" x14ac:dyDescent="0.25">
      <c r="A338" t="s">
        <v>5</v>
      </c>
      <c r="B338" s="2">
        <v>41364</v>
      </c>
      <c r="C338" t="s">
        <v>7</v>
      </c>
      <c r="D338">
        <v>3.1956369430842603E-2</v>
      </c>
    </row>
    <row r="339" spans="1:4" x14ac:dyDescent="0.25">
      <c r="A339" t="s">
        <v>5</v>
      </c>
      <c r="B339" s="2">
        <v>41455</v>
      </c>
      <c r="C339" t="s">
        <v>7</v>
      </c>
      <c r="D339">
        <v>3.4723906608241289E-2</v>
      </c>
    </row>
    <row r="340" spans="1:4" x14ac:dyDescent="0.25">
      <c r="A340" t="s">
        <v>5</v>
      </c>
      <c r="B340" s="2">
        <v>41547</v>
      </c>
      <c r="C340" t="s">
        <v>7</v>
      </c>
      <c r="D340">
        <v>-2.0889391385869701E-2</v>
      </c>
    </row>
    <row r="341" spans="1:4" x14ac:dyDescent="0.25">
      <c r="A341" t="s">
        <v>5</v>
      </c>
      <c r="B341" s="2">
        <v>41639</v>
      </c>
      <c r="C341" t="s">
        <v>7</v>
      </c>
      <c r="D341">
        <v>-2.3866964381202199E-2</v>
      </c>
    </row>
    <row r="342" spans="1:4" x14ac:dyDescent="0.25">
      <c r="A342" t="s">
        <v>5</v>
      </c>
      <c r="B342" s="2">
        <v>41729</v>
      </c>
      <c r="C342" t="s">
        <v>7</v>
      </c>
      <c r="D342">
        <v>2.84142443966309E-2</v>
      </c>
    </row>
    <row r="343" spans="1:4" x14ac:dyDescent="0.25">
      <c r="A343" t="s">
        <v>5</v>
      </c>
      <c r="B343" s="2">
        <v>41820</v>
      </c>
      <c r="C343" t="s">
        <v>7</v>
      </c>
      <c r="D343">
        <v>-5.7500169853449988E-2</v>
      </c>
    </row>
    <row r="344" spans="1:4" x14ac:dyDescent="0.25">
      <c r="A344" t="s">
        <v>5</v>
      </c>
      <c r="B344" s="2">
        <v>41912</v>
      </c>
      <c r="C344" t="s">
        <v>7</v>
      </c>
      <c r="D344">
        <v>1.1286110298042801E-2</v>
      </c>
    </row>
    <row r="345" spans="1:4" x14ac:dyDescent="0.25">
      <c r="A345" t="s">
        <v>5</v>
      </c>
      <c r="B345" s="2">
        <v>42004</v>
      </c>
      <c r="C345" t="s">
        <v>7</v>
      </c>
      <c r="D345">
        <v>4.3228874596188287E-2</v>
      </c>
    </row>
    <row r="346" spans="1:4" x14ac:dyDescent="0.25">
      <c r="A346" t="s">
        <v>5</v>
      </c>
      <c r="B346" s="2">
        <v>42094</v>
      </c>
      <c r="C346" t="s">
        <v>7</v>
      </c>
      <c r="D346">
        <v>-3.2493994981651481E-2</v>
      </c>
    </row>
    <row r="347" spans="1:4" x14ac:dyDescent="0.25">
      <c r="A347" t="s">
        <v>5</v>
      </c>
      <c r="B347" s="2">
        <v>42185</v>
      </c>
      <c r="C347" t="s">
        <v>7</v>
      </c>
      <c r="D347">
        <v>0.1123146960882792</v>
      </c>
    </row>
    <row r="348" spans="1:4" x14ac:dyDescent="0.25">
      <c r="A348" t="s">
        <v>5</v>
      </c>
      <c r="B348" s="2">
        <v>42277</v>
      </c>
      <c r="C348" t="s">
        <v>7</v>
      </c>
      <c r="D348">
        <v>7.4652740681570795E-2</v>
      </c>
    </row>
    <row r="349" spans="1:4" x14ac:dyDescent="0.25">
      <c r="A349" t="s">
        <v>5</v>
      </c>
      <c r="B349" s="2">
        <v>42369</v>
      </c>
      <c r="C349" t="s">
        <v>7</v>
      </c>
      <c r="D349">
        <v>-0.14654107947524239</v>
      </c>
    </row>
    <row r="350" spans="1:4" x14ac:dyDescent="0.25">
      <c r="A350" t="s">
        <v>5</v>
      </c>
      <c r="B350" s="2">
        <v>42460</v>
      </c>
      <c r="C350" t="s">
        <v>7</v>
      </c>
      <c r="D350">
        <v>9.284073777236701E-2</v>
      </c>
    </row>
    <row r="351" spans="1:4" x14ac:dyDescent="0.25">
      <c r="A351" t="s">
        <v>5</v>
      </c>
      <c r="B351" s="2">
        <v>42551</v>
      </c>
      <c r="C351" t="s">
        <v>7</v>
      </c>
      <c r="D351">
        <v>-0.1143799810663723</v>
      </c>
    </row>
    <row r="352" spans="1:4" x14ac:dyDescent="0.25">
      <c r="A352" t="s">
        <v>5</v>
      </c>
      <c r="B352" s="2">
        <v>42643</v>
      </c>
      <c r="C352" t="s">
        <v>7</v>
      </c>
      <c r="D352">
        <v>-1.963847750677428E-2</v>
      </c>
    </row>
    <row r="353" spans="1:4" x14ac:dyDescent="0.25">
      <c r="A353" t="s">
        <v>5</v>
      </c>
      <c r="B353" s="2">
        <v>42735</v>
      </c>
      <c r="C353" t="s">
        <v>7</v>
      </c>
      <c r="D353">
        <v>-1.2253077663527319E-2</v>
      </c>
    </row>
    <row r="354" spans="1:4" x14ac:dyDescent="0.25">
      <c r="A354" t="s">
        <v>5</v>
      </c>
      <c r="B354" s="2">
        <v>42825</v>
      </c>
      <c r="C354" t="s">
        <v>7</v>
      </c>
      <c r="D354">
        <v>-2.2457083478478999E-2</v>
      </c>
    </row>
    <row r="355" spans="1:4" x14ac:dyDescent="0.25">
      <c r="A355" t="s">
        <v>5</v>
      </c>
      <c r="B355" s="2">
        <v>42916</v>
      </c>
      <c r="C355" t="s">
        <v>7</v>
      </c>
      <c r="D355">
        <v>-7.5975958408092958E-3</v>
      </c>
    </row>
    <row r="356" spans="1:4" x14ac:dyDescent="0.25">
      <c r="A356" t="s">
        <v>5</v>
      </c>
      <c r="B356" s="2">
        <v>43008</v>
      </c>
      <c r="C356" t="s">
        <v>7</v>
      </c>
      <c r="D356">
        <v>2.945391492734958E-2</v>
      </c>
    </row>
    <row r="357" spans="1:4" x14ac:dyDescent="0.25">
      <c r="A357" t="s">
        <v>5</v>
      </c>
      <c r="B357" s="2">
        <v>43100</v>
      </c>
      <c r="C357" t="s">
        <v>7</v>
      </c>
      <c r="D357">
        <v>1.6304768964165019E-2</v>
      </c>
    </row>
    <row r="358" spans="1:4" x14ac:dyDescent="0.25">
      <c r="A358" t="s">
        <v>5</v>
      </c>
      <c r="B358" s="2">
        <v>43190</v>
      </c>
      <c r="C358" t="s">
        <v>7</v>
      </c>
      <c r="D358">
        <v>8.1556071387553802E-2</v>
      </c>
    </row>
    <row r="359" spans="1:4" x14ac:dyDescent="0.25">
      <c r="A359" t="s">
        <v>5</v>
      </c>
      <c r="B359" s="2">
        <v>43281</v>
      </c>
      <c r="C359" t="s">
        <v>7</v>
      </c>
      <c r="D359">
        <v>-5.6853986043616113E-2</v>
      </c>
    </row>
    <row r="360" spans="1:4" x14ac:dyDescent="0.25">
      <c r="A360" t="s">
        <v>5</v>
      </c>
      <c r="B360" s="2">
        <v>43373</v>
      </c>
      <c r="C360" t="s">
        <v>7</v>
      </c>
      <c r="D360">
        <v>2.567594611939009E-2</v>
      </c>
    </row>
    <row r="361" spans="1:4" x14ac:dyDescent="0.25">
      <c r="A361" t="s">
        <v>5</v>
      </c>
      <c r="B361" s="2">
        <v>43465</v>
      </c>
      <c r="C361" t="s">
        <v>7</v>
      </c>
      <c r="D361">
        <v>5.0452456547051723E-2</v>
      </c>
    </row>
    <row r="362" spans="1:4" x14ac:dyDescent="0.25">
      <c r="A362" t="s">
        <v>5</v>
      </c>
      <c r="B362" s="2">
        <v>43555</v>
      </c>
      <c r="C362" t="s">
        <v>7</v>
      </c>
      <c r="D362">
        <v>-6.9385947005699916E-2</v>
      </c>
    </row>
    <row r="363" spans="1:4" x14ac:dyDescent="0.25">
      <c r="A363" t="s">
        <v>5</v>
      </c>
      <c r="B363" s="2">
        <v>43646</v>
      </c>
      <c r="C363" t="s">
        <v>7</v>
      </c>
      <c r="D363">
        <v>-1.51355391450339E-2</v>
      </c>
    </row>
    <row r="364" spans="1:4" x14ac:dyDescent="0.25">
      <c r="A364" t="s">
        <v>5</v>
      </c>
      <c r="B364" s="2">
        <v>43738</v>
      </c>
      <c r="C364" t="s">
        <v>7</v>
      </c>
      <c r="D364">
        <v>-1.025754942175458E-2</v>
      </c>
    </row>
    <row r="365" spans="1:4" x14ac:dyDescent="0.25">
      <c r="A365" t="s">
        <v>5</v>
      </c>
      <c r="B365" s="2">
        <v>43830</v>
      </c>
      <c r="C365" t="s">
        <v>7</v>
      </c>
      <c r="D365">
        <v>-2.9705951325493422E-2</v>
      </c>
    </row>
    <row r="366" spans="1:4" x14ac:dyDescent="0.25">
      <c r="A366" t="s">
        <v>5</v>
      </c>
      <c r="B366" s="2">
        <v>43921</v>
      </c>
      <c r="C366" t="s">
        <v>7</v>
      </c>
      <c r="D366">
        <v>0.18490951967474761</v>
      </c>
    </row>
    <row r="367" spans="1:4" x14ac:dyDescent="0.25">
      <c r="A367" t="s">
        <v>5</v>
      </c>
      <c r="B367" s="2">
        <v>44012</v>
      </c>
      <c r="C367" t="s">
        <v>7</v>
      </c>
      <c r="D367">
        <v>-0.1092965207896175</v>
      </c>
    </row>
    <row r="368" spans="1:4" x14ac:dyDescent="0.25">
      <c r="A368" t="s">
        <v>5</v>
      </c>
      <c r="B368" s="2">
        <v>44104</v>
      </c>
      <c r="C368" t="s">
        <v>7</v>
      </c>
      <c r="D368">
        <v>3.9938670746903798E-2</v>
      </c>
    </row>
    <row r="369" spans="1:4" x14ac:dyDescent="0.25">
      <c r="A369" t="s">
        <v>5</v>
      </c>
      <c r="B369" s="2">
        <v>44196</v>
      </c>
      <c r="C369" t="s">
        <v>7</v>
      </c>
      <c r="D369">
        <v>-5.8115215481791521E-2</v>
      </c>
    </row>
    <row r="370" spans="1:4" x14ac:dyDescent="0.25">
      <c r="A370" t="s">
        <v>5</v>
      </c>
      <c r="B370" s="2">
        <v>44286</v>
      </c>
      <c r="C370" t="s">
        <v>7</v>
      </c>
      <c r="D370">
        <v>9.3621588448557391E-2</v>
      </c>
    </row>
    <row r="371" spans="1:4" x14ac:dyDescent="0.25">
      <c r="A371" t="s">
        <v>5</v>
      </c>
      <c r="B371" s="2">
        <v>44377</v>
      </c>
      <c r="C371" t="s">
        <v>7</v>
      </c>
      <c r="D371">
        <v>-0.12376495915836951</v>
      </c>
    </row>
    <row r="372" spans="1:4" x14ac:dyDescent="0.25">
      <c r="A372" t="s">
        <v>5</v>
      </c>
      <c r="B372" s="2">
        <v>44469</v>
      </c>
      <c r="C372" t="s">
        <v>7</v>
      </c>
      <c r="D372">
        <v>0.14724494059504131</v>
      </c>
    </row>
    <row r="373" spans="1:4" x14ac:dyDescent="0.25">
      <c r="A373" t="s">
        <v>5</v>
      </c>
      <c r="B373" s="2">
        <v>44561</v>
      </c>
      <c r="C373" t="s">
        <v>7</v>
      </c>
      <c r="D373">
        <v>-9.4521321034023664E-2</v>
      </c>
    </row>
    <row r="374" spans="1:4" x14ac:dyDescent="0.25">
      <c r="A374" t="s">
        <v>5</v>
      </c>
      <c r="B374" s="2">
        <v>44651</v>
      </c>
      <c r="C374" t="s">
        <v>7</v>
      </c>
      <c r="D374">
        <v>0.25274828817090139</v>
      </c>
    </row>
    <row r="375" spans="1:4" x14ac:dyDescent="0.25">
      <c r="A375" t="s">
        <v>5</v>
      </c>
      <c r="B375" s="2">
        <v>44742</v>
      </c>
      <c r="C375" t="s">
        <v>7</v>
      </c>
      <c r="D375">
        <v>-0.12941302758017881</v>
      </c>
    </row>
    <row r="376" spans="1:4" x14ac:dyDescent="0.25">
      <c r="A376" t="s">
        <v>5</v>
      </c>
      <c r="B376" s="2">
        <v>44834</v>
      </c>
      <c r="C376" t="s">
        <v>7</v>
      </c>
      <c r="D376">
        <v>-0.11748329299862061</v>
      </c>
    </row>
    <row r="377" spans="1:4" x14ac:dyDescent="0.25">
      <c r="A377" t="s">
        <v>5</v>
      </c>
      <c r="B377" s="2">
        <v>44926</v>
      </c>
      <c r="C377" t="s">
        <v>7</v>
      </c>
      <c r="D377">
        <v>0.21665709350480111</v>
      </c>
    </row>
    <row r="378" spans="1:4" x14ac:dyDescent="0.25">
      <c r="A378" t="s">
        <v>5</v>
      </c>
      <c r="B378" s="2">
        <v>45016</v>
      </c>
      <c r="C378" t="s">
        <v>7</v>
      </c>
      <c r="D378">
        <v>-0.1685331504912303</v>
      </c>
    </row>
    <row r="379" spans="1:4" x14ac:dyDescent="0.25">
      <c r="A379" t="s">
        <v>5</v>
      </c>
      <c r="B379" s="2">
        <v>45107</v>
      </c>
      <c r="C379" t="s">
        <v>7</v>
      </c>
      <c r="D379">
        <v>-6.6757894769696208E-2</v>
      </c>
    </row>
    <row r="380" spans="1:4" x14ac:dyDescent="0.25">
      <c r="A380" t="s">
        <v>5</v>
      </c>
      <c r="B380" s="2">
        <v>45199</v>
      </c>
      <c r="C380" t="s">
        <v>7</v>
      </c>
      <c r="D380">
        <v>3.7944447103467199E-2</v>
      </c>
    </row>
    <row r="381" spans="1:4" x14ac:dyDescent="0.25">
      <c r="A381" t="s">
        <v>5</v>
      </c>
      <c r="B381" s="2">
        <v>45291</v>
      </c>
      <c r="C381" t="s">
        <v>7</v>
      </c>
      <c r="D381">
        <v>-1.7762218724925619E-2</v>
      </c>
    </row>
    <row r="382" spans="1:4" x14ac:dyDescent="0.25">
      <c r="A382" t="s">
        <v>5</v>
      </c>
      <c r="B382" s="2">
        <v>45382</v>
      </c>
      <c r="C382" t="s">
        <v>7</v>
      </c>
      <c r="D382">
        <v>2.3671568220900219E-2</v>
      </c>
    </row>
    <row r="383" spans="1:4" x14ac:dyDescent="0.25">
      <c r="A383" t="s">
        <v>5</v>
      </c>
      <c r="B383" s="2">
        <v>45473</v>
      </c>
      <c r="C383" t="s">
        <v>7</v>
      </c>
      <c r="D383">
        <v>-5.5982792769702722E-2</v>
      </c>
    </row>
    <row r="384" spans="1:4" x14ac:dyDescent="0.25">
      <c r="A384" t="s">
        <v>5</v>
      </c>
      <c r="B384" s="2">
        <v>45565</v>
      </c>
      <c r="C384" t="s">
        <v>7</v>
      </c>
      <c r="D384">
        <v>6.2268403302717212E-2</v>
      </c>
    </row>
    <row r="385" spans="1:4" x14ac:dyDescent="0.25">
      <c r="A385" t="s">
        <v>5</v>
      </c>
      <c r="B385" s="2">
        <v>45657</v>
      </c>
      <c r="C385" t="s">
        <v>7</v>
      </c>
      <c r="D385">
        <v>6.2777845709127783E-2</v>
      </c>
    </row>
    <row r="386" spans="1:4" x14ac:dyDescent="0.25">
      <c r="A386" t="s">
        <v>4</v>
      </c>
      <c r="B386" s="2">
        <v>36981</v>
      </c>
      <c r="C386" t="s">
        <v>8</v>
      </c>
    </row>
    <row r="387" spans="1:4" x14ac:dyDescent="0.25">
      <c r="A387" t="s">
        <v>4</v>
      </c>
      <c r="B387" s="2">
        <v>37072</v>
      </c>
      <c r="C387" t="s">
        <v>8</v>
      </c>
      <c r="D387">
        <v>-1.22984652255292</v>
      </c>
    </row>
    <row r="388" spans="1:4" x14ac:dyDescent="0.25">
      <c r="A388" t="s">
        <v>4</v>
      </c>
      <c r="B388" s="2">
        <v>37164</v>
      </c>
      <c r="C388" t="s">
        <v>8</v>
      </c>
      <c r="D388">
        <v>-1.843763179727635</v>
      </c>
    </row>
    <row r="389" spans="1:4" x14ac:dyDescent="0.25">
      <c r="A389" t="s">
        <v>4</v>
      </c>
      <c r="B389" s="2">
        <v>37256</v>
      </c>
      <c r="C389" t="s">
        <v>8</v>
      </c>
      <c r="D389">
        <v>6.347981000412565</v>
      </c>
    </row>
    <row r="390" spans="1:4" x14ac:dyDescent="0.25">
      <c r="A390" t="s">
        <v>4</v>
      </c>
      <c r="B390" s="2">
        <v>37346</v>
      </c>
      <c r="C390" t="s">
        <v>8</v>
      </c>
      <c r="D390">
        <v>1.0879153442044589</v>
      </c>
    </row>
    <row r="391" spans="1:4" x14ac:dyDescent="0.25">
      <c r="A391" t="s">
        <v>4</v>
      </c>
      <c r="B391" s="2">
        <v>37437</v>
      </c>
      <c r="C391" t="s">
        <v>8</v>
      </c>
      <c r="D391">
        <v>-2.1324348671329609</v>
      </c>
    </row>
    <row r="392" spans="1:4" x14ac:dyDescent="0.25">
      <c r="A392" t="s">
        <v>4</v>
      </c>
      <c r="B392" s="2">
        <v>37529</v>
      </c>
      <c r="C392" t="s">
        <v>8</v>
      </c>
      <c r="D392">
        <v>-1.01488062437662</v>
      </c>
    </row>
    <row r="393" spans="1:4" x14ac:dyDescent="0.25">
      <c r="A393" t="s">
        <v>4</v>
      </c>
      <c r="B393" s="2">
        <v>37621</v>
      </c>
      <c r="C393" t="s">
        <v>8</v>
      </c>
      <c r="D393">
        <v>1.285433437950241</v>
      </c>
    </row>
    <row r="394" spans="1:4" x14ac:dyDescent="0.25">
      <c r="A394" t="s">
        <v>4</v>
      </c>
      <c r="B394" s="2">
        <v>37711</v>
      </c>
      <c r="C394" t="s">
        <v>8</v>
      </c>
      <c r="D394">
        <v>-2.1293032099274911</v>
      </c>
    </row>
    <row r="395" spans="1:4" x14ac:dyDescent="0.25">
      <c r="A395" t="s">
        <v>4</v>
      </c>
      <c r="B395" s="2">
        <v>37802</v>
      </c>
      <c r="C395" t="s">
        <v>8</v>
      </c>
      <c r="D395">
        <v>1.868033523070121</v>
      </c>
    </row>
    <row r="396" spans="1:4" x14ac:dyDescent="0.25">
      <c r="A396" t="s">
        <v>4</v>
      </c>
      <c r="B396" s="2">
        <v>37894</v>
      </c>
      <c r="C396" t="s">
        <v>8</v>
      </c>
      <c r="D396">
        <v>2.468081412620529</v>
      </c>
    </row>
    <row r="397" spans="1:4" x14ac:dyDescent="0.25">
      <c r="A397" t="s">
        <v>4</v>
      </c>
      <c r="B397" s="2">
        <v>37986</v>
      </c>
      <c r="C397" t="s">
        <v>8</v>
      </c>
      <c r="D397">
        <v>5.4229118308931694</v>
      </c>
    </row>
    <row r="398" spans="1:4" x14ac:dyDescent="0.25">
      <c r="A398" t="s">
        <v>4</v>
      </c>
      <c r="B398" s="2">
        <v>38077</v>
      </c>
      <c r="C398" t="s">
        <v>8</v>
      </c>
      <c r="D398">
        <v>-0.2957179161176775</v>
      </c>
    </row>
    <row r="399" spans="1:4" x14ac:dyDescent="0.25">
      <c r="A399" t="s">
        <v>4</v>
      </c>
      <c r="B399" s="2">
        <v>38168</v>
      </c>
      <c r="C399" t="s">
        <v>8</v>
      </c>
      <c r="D399">
        <v>-7.6789353127424818</v>
      </c>
    </row>
    <row r="400" spans="1:4" x14ac:dyDescent="0.25">
      <c r="A400" t="s">
        <v>4</v>
      </c>
      <c r="B400" s="2">
        <v>38260</v>
      </c>
      <c r="C400" t="s">
        <v>8</v>
      </c>
      <c r="D400">
        <v>2.0338995100604809</v>
      </c>
    </row>
    <row r="401" spans="1:4" x14ac:dyDescent="0.25">
      <c r="A401" t="s">
        <v>4</v>
      </c>
      <c r="B401" s="2">
        <v>38352</v>
      </c>
      <c r="C401" t="s">
        <v>8</v>
      </c>
      <c r="D401">
        <v>3.1134264867502579</v>
      </c>
    </row>
    <row r="402" spans="1:4" x14ac:dyDescent="0.25">
      <c r="A402" t="s">
        <v>4</v>
      </c>
      <c r="B402" s="2">
        <v>38442</v>
      </c>
      <c r="C402" t="s">
        <v>8</v>
      </c>
      <c r="D402">
        <v>-0.67185231547611934</v>
      </c>
    </row>
    <row r="403" spans="1:4" x14ac:dyDescent="0.25">
      <c r="A403" t="s">
        <v>4</v>
      </c>
      <c r="B403" s="2">
        <v>38533</v>
      </c>
      <c r="C403" t="s">
        <v>8</v>
      </c>
      <c r="D403">
        <v>-2.3840858925734998</v>
      </c>
    </row>
    <row r="404" spans="1:4" x14ac:dyDescent="0.25">
      <c r="A404" t="s">
        <v>4</v>
      </c>
      <c r="B404" s="2">
        <v>38625</v>
      </c>
      <c r="C404" t="s">
        <v>8</v>
      </c>
      <c r="D404">
        <v>2.7633519491374212</v>
      </c>
    </row>
    <row r="405" spans="1:4" x14ac:dyDescent="0.25">
      <c r="A405" t="s">
        <v>4</v>
      </c>
      <c r="B405" s="2">
        <v>38717</v>
      </c>
      <c r="C405" t="s">
        <v>8</v>
      </c>
      <c r="D405">
        <v>2.0562684900996402</v>
      </c>
    </row>
    <row r="406" spans="1:4" x14ac:dyDescent="0.25">
      <c r="A406" t="s">
        <v>4</v>
      </c>
      <c r="B406" s="2">
        <v>38807</v>
      </c>
      <c r="C406" t="s">
        <v>8</v>
      </c>
      <c r="D406">
        <v>3.8285627786021408</v>
      </c>
    </row>
    <row r="407" spans="1:4" x14ac:dyDescent="0.25">
      <c r="A407" t="s">
        <v>4</v>
      </c>
      <c r="B407" s="2">
        <v>38898</v>
      </c>
      <c r="C407" t="s">
        <v>8</v>
      </c>
      <c r="D407">
        <v>-5.5912384056878217</v>
      </c>
    </row>
    <row r="408" spans="1:4" x14ac:dyDescent="0.25">
      <c r="A408" t="s">
        <v>4</v>
      </c>
      <c r="B408" s="2">
        <v>38990</v>
      </c>
      <c r="C408" t="s">
        <v>8</v>
      </c>
      <c r="D408">
        <v>3.60867570481722</v>
      </c>
    </row>
    <row r="409" spans="1:4" x14ac:dyDescent="0.25">
      <c r="A409" t="s">
        <v>4</v>
      </c>
      <c r="B409" s="2">
        <v>39082</v>
      </c>
      <c r="C409" t="s">
        <v>8</v>
      </c>
      <c r="D409">
        <v>3.849254085138369</v>
      </c>
    </row>
    <row r="410" spans="1:4" x14ac:dyDescent="0.25">
      <c r="A410" t="s">
        <v>4</v>
      </c>
      <c r="B410" s="2">
        <v>39172</v>
      </c>
      <c r="C410" t="s">
        <v>8</v>
      </c>
      <c r="D410">
        <v>-2.7532859081197998</v>
      </c>
    </row>
    <row r="411" spans="1:4" x14ac:dyDescent="0.25">
      <c r="A411" t="s">
        <v>4</v>
      </c>
      <c r="B411" s="2">
        <v>39263</v>
      </c>
      <c r="C411" t="s">
        <v>8</v>
      </c>
      <c r="D411">
        <v>-2.1961864602445691</v>
      </c>
    </row>
    <row r="412" spans="1:4" x14ac:dyDescent="0.25">
      <c r="A412" t="s">
        <v>4</v>
      </c>
      <c r="B412" s="2">
        <v>39355</v>
      </c>
      <c r="C412" t="s">
        <v>8</v>
      </c>
      <c r="D412">
        <v>3.3666433407935301</v>
      </c>
    </row>
    <row r="413" spans="1:4" x14ac:dyDescent="0.25">
      <c r="A413" t="s">
        <v>4</v>
      </c>
      <c r="B413" s="2">
        <v>39447</v>
      </c>
      <c r="C413" t="s">
        <v>8</v>
      </c>
      <c r="D413">
        <v>5.1630290207982199</v>
      </c>
    </row>
    <row r="414" spans="1:4" x14ac:dyDescent="0.25">
      <c r="A414" t="s">
        <v>4</v>
      </c>
      <c r="B414" s="2">
        <v>39538</v>
      </c>
      <c r="C414" t="s">
        <v>8</v>
      </c>
      <c r="D414">
        <v>-7.4587574422170491</v>
      </c>
    </row>
    <row r="415" spans="1:4" x14ac:dyDescent="0.25">
      <c r="A415" t="s">
        <v>4</v>
      </c>
      <c r="B415" s="2">
        <v>39629</v>
      </c>
      <c r="C415" t="s">
        <v>8</v>
      </c>
      <c r="D415">
        <v>-5.426490867699421</v>
      </c>
    </row>
    <row r="416" spans="1:4" x14ac:dyDescent="0.25">
      <c r="A416" t="s">
        <v>4</v>
      </c>
      <c r="B416" s="2">
        <v>39721</v>
      </c>
      <c r="C416" t="s">
        <v>8</v>
      </c>
      <c r="D416">
        <v>-1.219780481535309</v>
      </c>
    </row>
    <row r="417" spans="1:4" x14ac:dyDescent="0.25">
      <c r="A417" t="s">
        <v>4</v>
      </c>
      <c r="B417" s="2">
        <v>39813</v>
      </c>
      <c r="C417" t="s">
        <v>8</v>
      </c>
      <c r="D417">
        <v>-4.312739351549741</v>
      </c>
    </row>
    <row r="418" spans="1:4" x14ac:dyDescent="0.25">
      <c r="A418" t="s">
        <v>4</v>
      </c>
      <c r="B418" s="2">
        <v>39903</v>
      </c>
      <c r="C418" t="s">
        <v>8</v>
      </c>
      <c r="D418">
        <v>0.1479708029590405</v>
      </c>
    </row>
    <row r="419" spans="1:4" x14ac:dyDescent="0.25">
      <c r="A419" t="s">
        <v>4</v>
      </c>
      <c r="B419" s="2">
        <v>39994</v>
      </c>
      <c r="C419" t="s">
        <v>8</v>
      </c>
      <c r="D419">
        <v>6.3694552212501492</v>
      </c>
    </row>
    <row r="420" spans="1:4" x14ac:dyDescent="0.25">
      <c r="A420" t="s">
        <v>4</v>
      </c>
      <c r="B420" s="2">
        <v>40086</v>
      </c>
      <c r="C420" t="s">
        <v>8</v>
      </c>
      <c r="D420">
        <v>3.6879737390560412</v>
      </c>
    </row>
    <row r="421" spans="1:4" x14ac:dyDescent="0.25">
      <c r="A421" t="s">
        <v>4</v>
      </c>
      <c r="B421" s="2">
        <v>40178</v>
      </c>
      <c r="C421" t="s">
        <v>8</v>
      </c>
      <c r="D421">
        <v>0.87619294813383064</v>
      </c>
    </row>
    <row r="422" spans="1:4" x14ac:dyDescent="0.25">
      <c r="A422" t="s">
        <v>4</v>
      </c>
      <c r="B422" s="2">
        <v>40268</v>
      </c>
      <c r="C422" t="s">
        <v>8</v>
      </c>
      <c r="D422">
        <v>0.38474645667352902</v>
      </c>
    </row>
    <row r="423" spans="1:4" x14ac:dyDescent="0.25">
      <c r="A423" t="s">
        <v>4</v>
      </c>
      <c r="B423" s="2">
        <v>40359</v>
      </c>
      <c r="C423" t="s">
        <v>8</v>
      </c>
      <c r="D423">
        <v>-0.74242644749967113</v>
      </c>
    </row>
    <row r="424" spans="1:4" x14ac:dyDescent="0.25">
      <c r="A424" t="s">
        <v>4</v>
      </c>
      <c r="B424" s="2">
        <v>40451</v>
      </c>
      <c r="C424" t="s">
        <v>8</v>
      </c>
      <c r="D424">
        <v>2.478147453638162</v>
      </c>
    </row>
    <row r="425" spans="1:4" x14ac:dyDescent="0.25">
      <c r="A425" t="s">
        <v>4</v>
      </c>
      <c r="B425" s="2">
        <v>40543</v>
      </c>
      <c r="C425" t="s">
        <v>8</v>
      </c>
      <c r="D425">
        <v>-3.8900774737098409</v>
      </c>
    </row>
    <row r="426" spans="1:4" x14ac:dyDescent="0.25">
      <c r="A426" t="s">
        <v>4</v>
      </c>
      <c r="B426" s="2">
        <v>40633</v>
      </c>
      <c r="C426" t="s">
        <v>8</v>
      </c>
      <c r="D426">
        <v>-1.0890337932064289</v>
      </c>
    </row>
    <row r="427" spans="1:4" x14ac:dyDescent="0.25">
      <c r="A427" t="s">
        <v>4</v>
      </c>
      <c r="B427" s="2">
        <v>40724</v>
      </c>
      <c r="C427" t="s">
        <v>8</v>
      </c>
      <c r="D427">
        <v>-1.4206539222869421</v>
      </c>
    </row>
    <row r="428" spans="1:4" x14ac:dyDescent="0.25">
      <c r="A428" t="s">
        <v>4</v>
      </c>
      <c r="B428" s="2">
        <v>40816</v>
      </c>
      <c r="C428" t="s">
        <v>8</v>
      </c>
      <c r="D428">
        <v>-2.2217989423893978</v>
      </c>
    </row>
    <row r="429" spans="1:4" x14ac:dyDescent="0.25">
      <c r="A429" t="s">
        <v>4</v>
      </c>
      <c r="B429" s="2">
        <v>40908</v>
      </c>
      <c r="C429" t="s">
        <v>8</v>
      </c>
      <c r="D429">
        <v>-3.21520534592843</v>
      </c>
    </row>
    <row r="430" spans="1:4" x14ac:dyDescent="0.25">
      <c r="A430" t="s">
        <v>4</v>
      </c>
      <c r="B430" s="2">
        <v>40999</v>
      </c>
      <c r="C430" t="s">
        <v>8</v>
      </c>
      <c r="D430">
        <v>1.651613641191251</v>
      </c>
    </row>
    <row r="431" spans="1:4" x14ac:dyDescent="0.25">
      <c r="A431" t="s">
        <v>4</v>
      </c>
      <c r="B431" s="2">
        <v>41090</v>
      </c>
      <c r="C431" t="s">
        <v>8</v>
      </c>
      <c r="D431">
        <v>0.98032055021611875</v>
      </c>
    </row>
    <row r="432" spans="1:4" x14ac:dyDescent="0.25">
      <c r="A432" t="s">
        <v>4</v>
      </c>
      <c r="B432" s="2">
        <v>41182</v>
      </c>
      <c r="C432" t="s">
        <v>8</v>
      </c>
      <c r="D432">
        <v>1.336882092040302</v>
      </c>
    </row>
    <row r="433" spans="1:4" x14ac:dyDescent="0.25">
      <c r="A433" t="s">
        <v>4</v>
      </c>
      <c r="B433" s="2">
        <v>41274</v>
      </c>
      <c r="C433" t="s">
        <v>8</v>
      </c>
      <c r="D433">
        <v>0.64914780073637957</v>
      </c>
    </row>
    <row r="434" spans="1:4" x14ac:dyDescent="0.25">
      <c r="A434" t="s">
        <v>4</v>
      </c>
      <c r="B434" s="2">
        <v>41364</v>
      </c>
      <c r="C434" t="s">
        <v>8</v>
      </c>
      <c r="D434">
        <v>-1.015104314177012</v>
      </c>
    </row>
    <row r="435" spans="1:4" x14ac:dyDescent="0.25">
      <c r="A435" t="s">
        <v>4</v>
      </c>
      <c r="B435" s="2">
        <v>41455</v>
      </c>
      <c r="C435" t="s">
        <v>8</v>
      </c>
      <c r="D435">
        <v>-0.24303896812545919</v>
      </c>
    </row>
    <row r="436" spans="1:4" x14ac:dyDescent="0.25">
      <c r="A436" t="s">
        <v>4</v>
      </c>
      <c r="B436" s="2">
        <v>41547</v>
      </c>
      <c r="C436" t="s">
        <v>8</v>
      </c>
      <c r="D436">
        <v>-0.17212930140131991</v>
      </c>
    </row>
    <row r="437" spans="1:4" x14ac:dyDescent="0.25">
      <c r="A437" t="s">
        <v>4</v>
      </c>
      <c r="B437" s="2">
        <v>41639</v>
      </c>
      <c r="C437" t="s">
        <v>8</v>
      </c>
      <c r="D437">
        <v>1.7333722632343811</v>
      </c>
    </row>
    <row r="438" spans="1:4" x14ac:dyDescent="0.25">
      <c r="A438" t="s">
        <v>4</v>
      </c>
      <c r="B438" s="2">
        <v>41729</v>
      </c>
      <c r="C438" t="s">
        <v>8</v>
      </c>
      <c r="D438">
        <v>1.4602470169562589</v>
      </c>
    </row>
    <row r="439" spans="1:4" x14ac:dyDescent="0.25">
      <c r="A439" t="s">
        <v>4</v>
      </c>
      <c r="B439" s="2">
        <v>41820</v>
      </c>
      <c r="C439" t="s">
        <v>8</v>
      </c>
      <c r="D439">
        <v>-0.25869725415287093</v>
      </c>
    </row>
    <row r="440" spans="1:4" x14ac:dyDescent="0.25">
      <c r="A440" t="s">
        <v>4</v>
      </c>
      <c r="B440" s="2">
        <v>41912</v>
      </c>
      <c r="C440" t="s">
        <v>8</v>
      </c>
      <c r="D440">
        <v>1.4987216626236199</v>
      </c>
    </row>
    <row r="441" spans="1:4" x14ac:dyDescent="0.25">
      <c r="A441" t="s">
        <v>4</v>
      </c>
      <c r="B441" s="2">
        <v>42004</v>
      </c>
      <c r="C441" t="s">
        <v>8</v>
      </c>
      <c r="D441">
        <v>-4.8316996884587127E-2</v>
      </c>
    </row>
    <row r="442" spans="1:4" x14ac:dyDescent="0.25">
      <c r="A442" t="s">
        <v>4</v>
      </c>
      <c r="B442" s="2">
        <v>42094</v>
      </c>
      <c r="C442" t="s">
        <v>8</v>
      </c>
      <c r="D442">
        <v>-0.31137620214508033</v>
      </c>
    </row>
    <row r="443" spans="1:4" x14ac:dyDescent="0.25">
      <c r="A443" t="s">
        <v>4</v>
      </c>
      <c r="B443" s="2">
        <v>42185</v>
      </c>
      <c r="C443" t="s">
        <v>8</v>
      </c>
      <c r="D443">
        <v>0.63550272291248788</v>
      </c>
    </row>
    <row r="444" spans="1:4" x14ac:dyDescent="0.25">
      <c r="A444" t="s">
        <v>4</v>
      </c>
      <c r="B444" s="2">
        <v>42277</v>
      </c>
      <c r="C444" t="s">
        <v>8</v>
      </c>
      <c r="D444">
        <v>0.60094264875198178</v>
      </c>
    </row>
    <row r="445" spans="1:4" x14ac:dyDescent="0.25">
      <c r="A445" t="s">
        <v>4</v>
      </c>
      <c r="B445" s="2">
        <v>42369</v>
      </c>
      <c r="C445" t="s">
        <v>8</v>
      </c>
      <c r="D445">
        <v>0.2201107635853283</v>
      </c>
    </row>
    <row r="446" spans="1:4" x14ac:dyDescent="0.25">
      <c r="A446" t="s">
        <v>4</v>
      </c>
      <c r="B446" s="2">
        <v>42460</v>
      </c>
      <c r="C446" t="s">
        <v>8</v>
      </c>
      <c r="D446">
        <v>-0.59713992214533818</v>
      </c>
    </row>
    <row r="447" spans="1:4" x14ac:dyDescent="0.25">
      <c r="A447" t="s">
        <v>4</v>
      </c>
      <c r="B447" s="2">
        <v>42551</v>
      </c>
      <c r="C447" t="s">
        <v>8</v>
      </c>
      <c r="D447">
        <v>0.497038736470099</v>
      </c>
    </row>
    <row r="448" spans="1:4" x14ac:dyDescent="0.25">
      <c r="A448" t="s">
        <v>4</v>
      </c>
      <c r="B448" s="2">
        <v>42643</v>
      </c>
      <c r="C448" t="s">
        <v>8</v>
      </c>
      <c r="D448">
        <v>1.2314123511556689</v>
      </c>
    </row>
    <row r="449" spans="1:4" x14ac:dyDescent="0.25">
      <c r="A449" t="s">
        <v>4</v>
      </c>
      <c r="B449" s="2">
        <v>42735</v>
      </c>
      <c r="C449" t="s">
        <v>8</v>
      </c>
      <c r="D449">
        <v>-1.493912331915197</v>
      </c>
    </row>
    <row r="450" spans="1:4" x14ac:dyDescent="0.25">
      <c r="A450" t="s">
        <v>4</v>
      </c>
      <c r="B450" s="2">
        <v>42825</v>
      </c>
      <c r="C450" t="s">
        <v>8</v>
      </c>
      <c r="D450">
        <v>2.7569767898262678</v>
      </c>
    </row>
    <row r="451" spans="1:4" x14ac:dyDescent="0.25">
      <c r="A451" t="s">
        <v>4</v>
      </c>
      <c r="B451" s="2">
        <v>42916</v>
      </c>
      <c r="C451" t="s">
        <v>8</v>
      </c>
      <c r="D451">
        <v>-0.93424045133544809</v>
      </c>
    </row>
    <row r="452" spans="1:4" x14ac:dyDescent="0.25">
      <c r="A452" t="s">
        <v>4</v>
      </c>
      <c r="B452" s="2">
        <v>43008</v>
      </c>
      <c r="C452" t="s">
        <v>8</v>
      </c>
      <c r="D452">
        <v>0.88066674414166712</v>
      </c>
    </row>
    <row r="453" spans="1:4" x14ac:dyDescent="0.25">
      <c r="A453" t="s">
        <v>4</v>
      </c>
      <c r="B453" s="2">
        <v>43100</v>
      </c>
      <c r="C453" t="s">
        <v>8</v>
      </c>
      <c r="D453">
        <v>0.86444923361328208</v>
      </c>
    </row>
    <row r="454" spans="1:4" x14ac:dyDescent="0.25">
      <c r="A454" t="s">
        <v>4</v>
      </c>
      <c r="B454" s="2">
        <v>43190</v>
      </c>
      <c r="C454" t="s">
        <v>8</v>
      </c>
      <c r="D454">
        <v>-1.0392628126192991</v>
      </c>
    </row>
    <row r="455" spans="1:4" x14ac:dyDescent="0.25">
      <c r="A455" t="s">
        <v>4</v>
      </c>
      <c r="B455" s="2">
        <v>43281</v>
      </c>
      <c r="C455" t="s">
        <v>8</v>
      </c>
      <c r="D455">
        <v>-0.3771410034602134</v>
      </c>
    </row>
    <row r="456" spans="1:4" x14ac:dyDescent="0.25">
      <c r="A456" t="s">
        <v>4</v>
      </c>
      <c r="B456" s="2">
        <v>43373</v>
      </c>
      <c r="C456" t="s">
        <v>8</v>
      </c>
      <c r="D456">
        <v>0.49961116917460302</v>
      </c>
    </row>
    <row r="457" spans="1:4" x14ac:dyDescent="0.25">
      <c r="A457" t="s">
        <v>4</v>
      </c>
      <c r="B457" s="2">
        <v>43465</v>
      </c>
      <c r="C457" t="s">
        <v>8</v>
      </c>
      <c r="D457">
        <v>-0.54792816605918304</v>
      </c>
    </row>
    <row r="458" spans="1:4" x14ac:dyDescent="0.25">
      <c r="A458" t="s">
        <v>4</v>
      </c>
      <c r="B458" s="2">
        <v>43555</v>
      </c>
      <c r="C458" t="s">
        <v>8</v>
      </c>
      <c r="D458">
        <v>1.471095972275251</v>
      </c>
    </row>
    <row r="459" spans="1:4" x14ac:dyDescent="0.25">
      <c r="A459" t="s">
        <v>4</v>
      </c>
      <c r="B459" s="2">
        <v>43646</v>
      </c>
      <c r="C459" t="s">
        <v>8</v>
      </c>
      <c r="D459">
        <v>-0.28128992399241781</v>
      </c>
    </row>
    <row r="460" spans="1:4" x14ac:dyDescent="0.25">
      <c r="A460" t="s">
        <v>4</v>
      </c>
      <c r="B460" s="2">
        <v>43738</v>
      </c>
      <c r="C460" t="s">
        <v>8</v>
      </c>
      <c r="D460">
        <v>-1.537084463390769</v>
      </c>
    </row>
    <row r="461" spans="1:4" x14ac:dyDescent="0.25">
      <c r="A461" t="s">
        <v>4</v>
      </c>
      <c r="B461" s="2">
        <v>43830</v>
      </c>
      <c r="C461" t="s">
        <v>8</v>
      </c>
      <c r="D461">
        <v>2.923290156417409</v>
      </c>
    </row>
    <row r="462" spans="1:4" x14ac:dyDescent="0.25">
      <c r="A462" t="s">
        <v>4</v>
      </c>
      <c r="B462" s="2">
        <v>43921</v>
      </c>
      <c r="C462" t="s">
        <v>8</v>
      </c>
      <c r="D462">
        <v>-8.2180277316861918</v>
      </c>
    </row>
    <row r="463" spans="1:4" x14ac:dyDescent="0.25">
      <c r="A463" t="s">
        <v>4</v>
      </c>
      <c r="B463" s="2">
        <v>44012</v>
      </c>
      <c r="C463" t="s">
        <v>8</v>
      </c>
      <c r="D463">
        <v>6.0715004071285614</v>
      </c>
    </row>
    <row r="464" spans="1:4" x14ac:dyDescent="0.25">
      <c r="A464" t="s">
        <v>4</v>
      </c>
      <c r="B464" s="2">
        <v>44104</v>
      </c>
      <c r="C464" t="s">
        <v>8</v>
      </c>
      <c r="D464">
        <v>4.6006281246536922</v>
      </c>
    </row>
    <row r="465" spans="1:4" x14ac:dyDescent="0.25">
      <c r="A465" t="s">
        <v>4</v>
      </c>
      <c r="B465" s="2">
        <v>44196</v>
      </c>
      <c r="C465" t="s">
        <v>8</v>
      </c>
      <c r="D465">
        <v>3.599761666271629</v>
      </c>
    </row>
    <row r="466" spans="1:4" x14ac:dyDescent="0.25">
      <c r="A466" t="s">
        <v>4</v>
      </c>
      <c r="B466" s="2">
        <v>44286</v>
      </c>
      <c r="C466" t="s">
        <v>8</v>
      </c>
      <c r="D466">
        <v>-0.26834946903976942</v>
      </c>
    </row>
    <row r="467" spans="1:4" x14ac:dyDescent="0.25">
      <c r="A467" t="s">
        <v>4</v>
      </c>
      <c r="B467" s="2">
        <v>44377</v>
      </c>
      <c r="C467" t="s">
        <v>8</v>
      </c>
      <c r="D467">
        <v>0.89258941050253782</v>
      </c>
    </row>
    <row r="468" spans="1:4" x14ac:dyDescent="0.25">
      <c r="A468" t="s">
        <v>4</v>
      </c>
      <c r="B468" s="2">
        <v>44469</v>
      </c>
      <c r="C468" t="s">
        <v>8</v>
      </c>
      <c r="D468">
        <v>3.050849265090712</v>
      </c>
    </row>
    <row r="469" spans="1:4" x14ac:dyDescent="0.25">
      <c r="A469" t="s">
        <v>4</v>
      </c>
      <c r="B469" s="2">
        <v>44561</v>
      </c>
      <c r="C469" t="s">
        <v>8</v>
      </c>
      <c r="D469">
        <v>-1.33139050744068</v>
      </c>
    </row>
    <row r="470" spans="1:4" x14ac:dyDescent="0.25">
      <c r="A470" t="s">
        <v>4</v>
      </c>
      <c r="B470" s="2">
        <v>44651</v>
      </c>
      <c r="C470" t="s">
        <v>8</v>
      </c>
      <c r="D470">
        <v>-7.0426720445086586</v>
      </c>
    </row>
    <row r="471" spans="1:4" x14ac:dyDescent="0.25">
      <c r="A471" t="s">
        <v>4</v>
      </c>
      <c r="B471" s="2">
        <v>44742</v>
      </c>
      <c r="C471" t="s">
        <v>8</v>
      </c>
      <c r="D471">
        <v>-3.7228693479171291</v>
      </c>
    </row>
    <row r="472" spans="1:4" x14ac:dyDescent="0.25">
      <c r="A472" t="s">
        <v>4</v>
      </c>
      <c r="B472" s="2">
        <v>44834</v>
      </c>
      <c r="C472" t="s">
        <v>8</v>
      </c>
      <c r="D472">
        <v>2.4268106444482882</v>
      </c>
    </row>
    <row r="473" spans="1:4" x14ac:dyDescent="0.25">
      <c r="A473" t="s">
        <v>4</v>
      </c>
      <c r="B473" s="2">
        <v>44926</v>
      </c>
      <c r="C473" t="s">
        <v>8</v>
      </c>
      <c r="D473">
        <v>0.40834573061484042</v>
      </c>
    </row>
    <row r="474" spans="1:4" x14ac:dyDescent="0.25">
      <c r="A474" t="s">
        <v>4</v>
      </c>
      <c r="B474" s="2">
        <v>45016</v>
      </c>
      <c r="C474" t="s">
        <v>8</v>
      </c>
      <c r="D474">
        <v>-3.0210425991885401</v>
      </c>
    </row>
    <row r="475" spans="1:4" x14ac:dyDescent="0.25">
      <c r="A475" t="s">
        <v>4</v>
      </c>
      <c r="B475" s="2">
        <v>45107</v>
      </c>
      <c r="C475" t="s">
        <v>8</v>
      </c>
      <c r="D475">
        <v>3.0884850740066021</v>
      </c>
    </row>
    <row r="476" spans="1:4" x14ac:dyDescent="0.25">
      <c r="A476" t="s">
        <v>4</v>
      </c>
      <c r="B476" s="2">
        <v>45199</v>
      </c>
      <c r="C476" t="s">
        <v>8</v>
      </c>
      <c r="D476">
        <v>2.1586065737778881E-2</v>
      </c>
    </row>
    <row r="477" spans="1:4" x14ac:dyDescent="0.25">
      <c r="A477" t="s">
        <v>4</v>
      </c>
      <c r="B477" s="2">
        <v>45291</v>
      </c>
      <c r="C477" t="s">
        <v>8</v>
      </c>
      <c r="D477">
        <v>2.4926872906636208</v>
      </c>
    </row>
    <row r="478" spans="1:4" x14ac:dyDescent="0.25">
      <c r="A478" t="s">
        <v>4</v>
      </c>
      <c r="B478" s="2">
        <v>45382</v>
      </c>
      <c r="C478" t="s">
        <v>8</v>
      </c>
      <c r="D478">
        <v>-1.909080601441971</v>
      </c>
    </row>
    <row r="479" spans="1:4" x14ac:dyDescent="0.25">
      <c r="A479" t="s">
        <v>4</v>
      </c>
      <c r="B479" s="2">
        <v>45473</v>
      </c>
      <c r="C479" t="s">
        <v>8</v>
      </c>
      <c r="D479">
        <v>0.99418931784039088</v>
      </c>
    </row>
    <row r="480" spans="1:4" x14ac:dyDescent="0.25">
      <c r="A480" t="s">
        <v>4</v>
      </c>
      <c r="B480" s="2">
        <v>45565</v>
      </c>
      <c r="C480" t="s">
        <v>8</v>
      </c>
      <c r="D480">
        <v>-0.1047251041566923</v>
      </c>
    </row>
    <row r="481" spans="1:4" x14ac:dyDescent="0.25">
      <c r="A481" t="s">
        <v>4</v>
      </c>
      <c r="B481" s="2">
        <v>45657</v>
      </c>
      <c r="C481" t="s">
        <v>8</v>
      </c>
      <c r="D481">
        <v>-2.48</v>
      </c>
    </row>
    <row r="482" spans="1:4" x14ac:dyDescent="0.25">
      <c r="A482" t="s">
        <v>5</v>
      </c>
      <c r="B482" s="2">
        <v>36981</v>
      </c>
      <c r="C482" t="s">
        <v>8</v>
      </c>
    </row>
    <row r="483" spans="1:4" x14ac:dyDescent="0.25">
      <c r="A483" t="s">
        <v>5</v>
      </c>
      <c r="B483" s="2">
        <v>37072</v>
      </c>
      <c r="C483" t="s">
        <v>8</v>
      </c>
      <c r="D483">
        <v>-5.2038272259222316</v>
      </c>
    </row>
    <row r="484" spans="1:4" x14ac:dyDescent="0.25">
      <c r="A484" t="s">
        <v>5</v>
      </c>
      <c r="B484" s="2">
        <v>37164</v>
      </c>
      <c r="C484" t="s">
        <v>8</v>
      </c>
      <c r="D484">
        <v>-8.7924284531943293</v>
      </c>
    </row>
    <row r="485" spans="1:4" x14ac:dyDescent="0.25">
      <c r="A485" t="s">
        <v>5</v>
      </c>
      <c r="B485" s="2">
        <v>37256</v>
      </c>
      <c r="C485" t="s">
        <v>8</v>
      </c>
      <c r="D485">
        <v>2.377381980134091</v>
      </c>
    </row>
    <row r="486" spans="1:4" x14ac:dyDescent="0.25">
      <c r="A486" t="s">
        <v>5</v>
      </c>
      <c r="B486" s="2">
        <v>37346</v>
      </c>
      <c r="C486" t="s">
        <v>8</v>
      </c>
      <c r="D486">
        <v>-0.53837529086417035</v>
      </c>
    </row>
    <row r="487" spans="1:4" x14ac:dyDescent="0.25">
      <c r="A487" t="s">
        <v>5</v>
      </c>
      <c r="B487" s="2">
        <v>37437</v>
      </c>
      <c r="C487" t="s">
        <v>8</v>
      </c>
      <c r="D487">
        <v>-0.40110310867518001</v>
      </c>
    </row>
    <row r="488" spans="1:4" x14ac:dyDescent="0.25">
      <c r="A488" t="s">
        <v>5</v>
      </c>
      <c r="B488" s="2">
        <v>37529</v>
      </c>
      <c r="C488" t="s">
        <v>8</v>
      </c>
      <c r="D488">
        <v>-2.1435887302177399</v>
      </c>
    </row>
    <row r="489" spans="1:4" x14ac:dyDescent="0.25">
      <c r="A489" t="s">
        <v>5</v>
      </c>
      <c r="B489" s="2">
        <v>37621</v>
      </c>
      <c r="C489" t="s">
        <v>8</v>
      </c>
      <c r="D489">
        <v>0.21196587144832971</v>
      </c>
    </row>
    <row r="490" spans="1:4" x14ac:dyDescent="0.25">
      <c r="A490" t="s">
        <v>5</v>
      </c>
      <c r="B490" s="2">
        <v>37711</v>
      </c>
      <c r="C490" t="s">
        <v>8</v>
      </c>
      <c r="D490">
        <v>-2.5811375531952589</v>
      </c>
    </row>
    <row r="491" spans="1:4" x14ac:dyDescent="0.25">
      <c r="A491" t="s">
        <v>5</v>
      </c>
      <c r="B491" s="2">
        <v>37802</v>
      </c>
      <c r="C491" t="s">
        <v>8</v>
      </c>
      <c r="D491">
        <v>-8.9929800075896029</v>
      </c>
    </row>
    <row r="492" spans="1:4" x14ac:dyDescent="0.25">
      <c r="A492" t="s">
        <v>5</v>
      </c>
      <c r="B492" s="2">
        <v>37894</v>
      </c>
      <c r="C492" t="s">
        <v>8</v>
      </c>
      <c r="D492">
        <v>12.432594358999459</v>
      </c>
    </row>
    <row r="493" spans="1:4" x14ac:dyDescent="0.25">
      <c r="A493" t="s">
        <v>5</v>
      </c>
      <c r="B493" s="2">
        <v>37986</v>
      </c>
      <c r="C493" t="s">
        <v>8</v>
      </c>
      <c r="D493">
        <v>4.7837002552143311</v>
      </c>
    </row>
    <row r="494" spans="1:4" x14ac:dyDescent="0.25">
      <c r="A494" t="s">
        <v>5</v>
      </c>
      <c r="B494" s="2">
        <v>38077</v>
      </c>
      <c r="C494" t="s">
        <v>8</v>
      </c>
      <c r="D494">
        <v>-8.9273977469367818</v>
      </c>
    </row>
    <row r="495" spans="1:4" x14ac:dyDescent="0.25">
      <c r="A495" t="s">
        <v>5</v>
      </c>
      <c r="B495" s="2">
        <v>38168</v>
      </c>
      <c r="C495" t="s">
        <v>8</v>
      </c>
      <c r="D495">
        <v>-6.1944698011455692</v>
      </c>
    </row>
    <row r="496" spans="1:4" x14ac:dyDescent="0.25">
      <c r="A496" t="s">
        <v>5</v>
      </c>
      <c r="B496" s="2">
        <v>38260</v>
      </c>
      <c r="C496" t="s">
        <v>8</v>
      </c>
      <c r="D496">
        <v>9.8022951417095907</v>
      </c>
    </row>
    <row r="497" spans="1:4" x14ac:dyDescent="0.25">
      <c r="A497" t="s">
        <v>5</v>
      </c>
      <c r="B497" s="2">
        <v>38352</v>
      </c>
      <c r="C497" t="s">
        <v>8</v>
      </c>
      <c r="D497">
        <v>0.72260637423613971</v>
      </c>
    </row>
    <row r="498" spans="1:4" x14ac:dyDescent="0.25">
      <c r="A498" t="s">
        <v>5</v>
      </c>
      <c r="B498" s="2">
        <v>38442</v>
      </c>
      <c r="C498" t="s">
        <v>8</v>
      </c>
      <c r="D498">
        <v>-4.3660764244064074</v>
      </c>
    </row>
    <row r="499" spans="1:4" x14ac:dyDescent="0.25">
      <c r="A499" t="s">
        <v>5</v>
      </c>
      <c r="B499" s="2">
        <v>38533</v>
      </c>
      <c r="C499" t="s">
        <v>8</v>
      </c>
      <c r="D499">
        <v>1.2452619476756071</v>
      </c>
    </row>
    <row r="500" spans="1:4" x14ac:dyDescent="0.25">
      <c r="A500" t="s">
        <v>5</v>
      </c>
      <c r="B500" s="2">
        <v>38625</v>
      </c>
      <c r="C500" t="s">
        <v>8</v>
      </c>
      <c r="D500">
        <v>1.30683918477623</v>
      </c>
    </row>
    <row r="501" spans="1:4" x14ac:dyDescent="0.25">
      <c r="A501" t="s">
        <v>5</v>
      </c>
      <c r="B501" s="2">
        <v>38717</v>
      </c>
      <c r="C501" t="s">
        <v>8</v>
      </c>
      <c r="D501">
        <v>-6.5281883885541347E-2</v>
      </c>
    </row>
    <row r="502" spans="1:4" x14ac:dyDescent="0.25">
      <c r="A502" t="s">
        <v>5</v>
      </c>
      <c r="B502" s="2">
        <v>38807</v>
      </c>
      <c r="C502" t="s">
        <v>8</v>
      </c>
      <c r="D502">
        <v>1.541233188113742</v>
      </c>
    </row>
    <row r="503" spans="1:4" x14ac:dyDescent="0.25">
      <c r="A503" t="s">
        <v>5</v>
      </c>
      <c r="B503" s="2">
        <v>38898</v>
      </c>
      <c r="C503" t="s">
        <v>8</v>
      </c>
      <c r="D503">
        <v>0.88000379980065979</v>
      </c>
    </row>
    <row r="504" spans="1:4" x14ac:dyDescent="0.25">
      <c r="A504" t="s">
        <v>5</v>
      </c>
      <c r="B504" s="2">
        <v>38990</v>
      </c>
      <c r="C504" t="s">
        <v>8</v>
      </c>
      <c r="D504">
        <v>-0.1672097332651212</v>
      </c>
    </row>
    <row r="505" spans="1:4" x14ac:dyDescent="0.25">
      <c r="A505" t="s">
        <v>5</v>
      </c>
      <c r="B505" s="2">
        <v>39082</v>
      </c>
      <c r="C505" t="s">
        <v>8</v>
      </c>
      <c r="D505">
        <v>4.956216644684611</v>
      </c>
    </row>
    <row r="506" spans="1:4" x14ac:dyDescent="0.25">
      <c r="A506" t="s">
        <v>5</v>
      </c>
      <c r="B506" s="2">
        <v>39172</v>
      </c>
      <c r="C506" t="s">
        <v>8</v>
      </c>
      <c r="D506">
        <v>5.0763673512218332E-2</v>
      </c>
    </row>
    <row r="507" spans="1:4" x14ac:dyDescent="0.25">
      <c r="A507" t="s">
        <v>5</v>
      </c>
      <c r="B507" s="2">
        <v>39263</v>
      </c>
      <c r="C507" t="s">
        <v>8</v>
      </c>
      <c r="D507">
        <v>2.3531515875429818</v>
      </c>
    </row>
    <row r="508" spans="1:4" x14ac:dyDescent="0.25">
      <c r="A508" t="s">
        <v>5</v>
      </c>
      <c r="B508" s="2">
        <v>39355</v>
      </c>
      <c r="C508" t="s">
        <v>8</v>
      </c>
      <c r="D508">
        <v>4.8261535048574302</v>
      </c>
    </row>
    <row r="509" spans="1:4" x14ac:dyDescent="0.25">
      <c r="A509" t="s">
        <v>5</v>
      </c>
      <c r="B509" s="2">
        <v>39447</v>
      </c>
      <c r="C509" t="s">
        <v>8</v>
      </c>
      <c r="D509">
        <v>-0.23940028277658951</v>
      </c>
    </row>
    <row r="510" spans="1:4" x14ac:dyDescent="0.25">
      <c r="A510" t="s">
        <v>5</v>
      </c>
      <c r="B510" s="2">
        <v>39538</v>
      </c>
      <c r="C510" t="s">
        <v>8</v>
      </c>
      <c r="D510">
        <v>-6.5129692990594714</v>
      </c>
    </row>
    <row r="511" spans="1:4" x14ac:dyDescent="0.25">
      <c r="A511" t="s">
        <v>5</v>
      </c>
      <c r="B511" s="2">
        <v>39629</v>
      </c>
      <c r="C511" t="s">
        <v>8</v>
      </c>
      <c r="D511">
        <v>-2.7512509285382509</v>
      </c>
    </row>
    <row r="512" spans="1:4" x14ac:dyDescent="0.25">
      <c r="A512" t="s">
        <v>5</v>
      </c>
      <c r="B512" s="2">
        <v>39721</v>
      </c>
      <c r="C512" t="s">
        <v>8</v>
      </c>
      <c r="D512">
        <v>-5.7739423282631783</v>
      </c>
    </row>
    <row r="513" spans="1:4" x14ac:dyDescent="0.25">
      <c r="A513" t="s">
        <v>5</v>
      </c>
      <c r="B513" s="2">
        <v>39813</v>
      </c>
      <c r="C513" t="s">
        <v>8</v>
      </c>
      <c r="D513">
        <v>-0.8212300791859235</v>
      </c>
    </row>
    <row r="514" spans="1:4" x14ac:dyDescent="0.25">
      <c r="A514" t="s">
        <v>5</v>
      </c>
      <c r="B514" s="2">
        <v>39903</v>
      </c>
      <c r="C514" t="s">
        <v>8</v>
      </c>
      <c r="D514">
        <v>2.1275686360182529</v>
      </c>
    </row>
    <row r="515" spans="1:4" x14ac:dyDescent="0.25">
      <c r="A515" t="s">
        <v>5</v>
      </c>
      <c r="B515" s="2">
        <v>39994</v>
      </c>
      <c r="C515" t="s">
        <v>8</v>
      </c>
      <c r="D515">
        <v>4.9953657498981698</v>
      </c>
    </row>
    <row r="516" spans="1:4" x14ac:dyDescent="0.25">
      <c r="A516" t="s">
        <v>5</v>
      </c>
      <c r="B516" s="2">
        <v>40086</v>
      </c>
      <c r="C516" t="s">
        <v>8</v>
      </c>
      <c r="D516">
        <v>1.9854904255372789</v>
      </c>
    </row>
    <row r="517" spans="1:4" x14ac:dyDescent="0.25">
      <c r="A517" t="s">
        <v>5</v>
      </c>
      <c r="B517" s="2">
        <v>40178</v>
      </c>
      <c r="C517" t="s">
        <v>8</v>
      </c>
      <c r="D517">
        <v>1.067338776410871</v>
      </c>
    </row>
    <row r="518" spans="1:4" x14ac:dyDescent="0.25">
      <c r="A518" t="s">
        <v>5</v>
      </c>
      <c r="B518" s="2">
        <v>40268</v>
      </c>
      <c r="C518" t="s">
        <v>8</v>
      </c>
      <c r="D518">
        <v>-9.7822700239529325E-2</v>
      </c>
    </row>
    <row r="519" spans="1:4" x14ac:dyDescent="0.25">
      <c r="A519" t="s">
        <v>5</v>
      </c>
      <c r="B519" s="2">
        <v>40359</v>
      </c>
      <c r="C519" t="s">
        <v>8</v>
      </c>
      <c r="D519">
        <v>-4.2980911496237511</v>
      </c>
    </row>
    <row r="520" spans="1:4" x14ac:dyDescent="0.25">
      <c r="A520" t="s">
        <v>5</v>
      </c>
      <c r="B520" s="2">
        <v>40451</v>
      </c>
      <c r="C520" t="s">
        <v>8</v>
      </c>
      <c r="D520">
        <v>-0.30227915253136928</v>
      </c>
    </row>
    <row r="521" spans="1:4" x14ac:dyDescent="0.25">
      <c r="A521" t="s">
        <v>5</v>
      </c>
      <c r="B521" s="2">
        <v>40543</v>
      </c>
      <c r="C521" t="s">
        <v>8</v>
      </c>
      <c r="D521">
        <v>-0.44325598153572981</v>
      </c>
    </row>
    <row r="522" spans="1:4" x14ac:dyDescent="0.25">
      <c r="A522" t="s">
        <v>5</v>
      </c>
      <c r="B522" s="2">
        <v>40633</v>
      </c>
      <c r="C522" t="s">
        <v>8</v>
      </c>
      <c r="D522">
        <v>-1.335575228756511</v>
      </c>
    </row>
    <row r="523" spans="1:4" x14ac:dyDescent="0.25">
      <c r="A523" t="s">
        <v>5</v>
      </c>
      <c r="B523" s="2">
        <v>40724</v>
      </c>
      <c r="C523" t="s">
        <v>8</v>
      </c>
      <c r="D523">
        <v>-0.28726031421414971</v>
      </c>
    </row>
    <row r="524" spans="1:4" x14ac:dyDescent="0.25">
      <c r="A524" t="s">
        <v>5</v>
      </c>
      <c r="B524" s="2">
        <v>40816</v>
      </c>
      <c r="C524" t="s">
        <v>8</v>
      </c>
      <c r="D524">
        <v>-4.6030736930521989</v>
      </c>
    </row>
    <row r="525" spans="1:4" x14ac:dyDescent="0.25">
      <c r="A525" t="s">
        <v>5</v>
      </c>
      <c r="B525" s="2">
        <v>40908</v>
      </c>
      <c r="C525" t="s">
        <v>8</v>
      </c>
      <c r="D525">
        <v>0.54338157031723178</v>
      </c>
    </row>
    <row r="526" spans="1:4" x14ac:dyDescent="0.25">
      <c r="A526" t="s">
        <v>5</v>
      </c>
      <c r="B526" s="2">
        <v>40999</v>
      </c>
      <c r="C526" t="s">
        <v>8</v>
      </c>
      <c r="D526">
        <v>1.090267536241827</v>
      </c>
    </row>
    <row r="527" spans="1:4" x14ac:dyDescent="0.25">
      <c r="A527" t="s">
        <v>5</v>
      </c>
      <c r="B527" s="2">
        <v>41090</v>
      </c>
      <c r="C527" t="s">
        <v>8</v>
      </c>
      <c r="D527">
        <v>-0.79830131935495352</v>
      </c>
    </row>
    <row r="528" spans="1:4" x14ac:dyDescent="0.25">
      <c r="A528" t="s">
        <v>5</v>
      </c>
      <c r="B528" s="2">
        <v>41182</v>
      </c>
      <c r="C528" t="s">
        <v>8</v>
      </c>
      <c r="D528">
        <v>0.50833761424371282</v>
      </c>
    </row>
    <row r="529" spans="1:4" x14ac:dyDescent="0.25">
      <c r="A529" t="s">
        <v>5</v>
      </c>
      <c r="B529" s="2">
        <v>41274</v>
      </c>
      <c r="C529" t="s">
        <v>8</v>
      </c>
      <c r="D529">
        <v>1.298328509729791</v>
      </c>
    </row>
    <row r="530" spans="1:4" x14ac:dyDescent="0.25">
      <c r="A530" t="s">
        <v>5</v>
      </c>
      <c r="B530" s="2">
        <v>41364</v>
      </c>
      <c r="C530" t="s">
        <v>8</v>
      </c>
      <c r="D530">
        <v>-0.83654929426949032</v>
      </c>
    </row>
    <row r="531" spans="1:4" x14ac:dyDescent="0.25">
      <c r="A531" t="s">
        <v>5</v>
      </c>
      <c r="B531" s="2">
        <v>41455</v>
      </c>
      <c r="C531" t="s">
        <v>8</v>
      </c>
      <c r="D531">
        <v>-0.88060455333334708</v>
      </c>
    </row>
    <row r="532" spans="1:4" x14ac:dyDescent="0.25">
      <c r="A532" t="s">
        <v>5</v>
      </c>
      <c r="B532" s="2">
        <v>41547</v>
      </c>
      <c r="C532" t="s">
        <v>8</v>
      </c>
      <c r="D532">
        <v>0.25582087933675268</v>
      </c>
    </row>
    <row r="533" spans="1:4" x14ac:dyDescent="0.25">
      <c r="A533" t="s">
        <v>5</v>
      </c>
      <c r="B533" s="2">
        <v>41639</v>
      </c>
      <c r="C533" t="s">
        <v>8</v>
      </c>
      <c r="D533">
        <v>0.529664364654165</v>
      </c>
    </row>
    <row r="534" spans="1:4" x14ac:dyDescent="0.25">
      <c r="A534" t="s">
        <v>5</v>
      </c>
      <c r="B534" s="2">
        <v>41729</v>
      </c>
      <c r="C534" t="s">
        <v>8</v>
      </c>
      <c r="D534">
        <v>-1.1946985253409339</v>
      </c>
    </row>
    <row r="535" spans="1:4" x14ac:dyDescent="0.25">
      <c r="A535" t="s">
        <v>5</v>
      </c>
      <c r="B535" s="2">
        <v>41820</v>
      </c>
      <c r="C535" t="s">
        <v>8</v>
      </c>
      <c r="D535">
        <v>0.50082819508510212</v>
      </c>
    </row>
    <row r="536" spans="1:4" x14ac:dyDescent="0.25">
      <c r="A536" t="s">
        <v>5</v>
      </c>
      <c r="B536" s="2">
        <v>41912</v>
      </c>
      <c r="C536" t="s">
        <v>8</v>
      </c>
      <c r="D536">
        <v>-0.26122766113095253</v>
      </c>
    </row>
    <row r="537" spans="1:4" x14ac:dyDescent="0.25">
      <c r="A537" t="s">
        <v>5</v>
      </c>
      <c r="B537" s="2">
        <v>42004</v>
      </c>
      <c r="C537" t="s">
        <v>8</v>
      </c>
      <c r="D537">
        <v>0.56621020455941462</v>
      </c>
    </row>
    <row r="538" spans="1:4" x14ac:dyDescent="0.25">
      <c r="A538" t="s">
        <v>5</v>
      </c>
      <c r="B538" s="2">
        <v>42094</v>
      </c>
      <c r="C538" t="s">
        <v>8</v>
      </c>
      <c r="D538">
        <v>1.060430110784941</v>
      </c>
    </row>
    <row r="539" spans="1:4" x14ac:dyDescent="0.25">
      <c r="A539" t="s">
        <v>5</v>
      </c>
      <c r="B539" s="2">
        <v>42185</v>
      </c>
      <c r="C539" t="s">
        <v>8</v>
      </c>
      <c r="D539">
        <v>0.5402776770649993</v>
      </c>
    </row>
    <row r="540" spans="1:4" x14ac:dyDescent="0.25">
      <c r="A540" t="s">
        <v>5</v>
      </c>
      <c r="B540" s="2">
        <v>42277</v>
      </c>
      <c r="C540" t="s">
        <v>8</v>
      </c>
      <c r="D540">
        <v>-2.8363576790025111</v>
      </c>
    </row>
    <row r="541" spans="1:4" x14ac:dyDescent="0.25">
      <c r="A541" t="s">
        <v>5</v>
      </c>
      <c r="B541" s="2">
        <v>42369</v>
      </c>
      <c r="C541" t="s">
        <v>8</v>
      </c>
      <c r="D541">
        <v>0.79359541668221745</v>
      </c>
    </row>
    <row r="542" spans="1:4" x14ac:dyDescent="0.25">
      <c r="A542" t="s">
        <v>5</v>
      </c>
      <c r="B542" s="2">
        <v>42460</v>
      </c>
      <c r="C542" t="s">
        <v>8</v>
      </c>
      <c r="D542">
        <v>1.150543140688294</v>
      </c>
    </row>
    <row r="543" spans="1:4" x14ac:dyDescent="0.25">
      <c r="A543" t="s">
        <v>5</v>
      </c>
      <c r="B543" s="2">
        <v>42551</v>
      </c>
      <c r="C543" t="s">
        <v>8</v>
      </c>
      <c r="D543">
        <v>-9.3917802277051265E-2</v>
      </c>
    </row>
    <row r="544" spans="1:4" x14ac:dyDescent="0.25">
      <c r="A544" t="s">
        <v>5</v>
      </c>
      <c r="B544" s="2">
        <v>42643</v>
      </c>
      <c r="C544" t="s">
        <v>8</v>
      </c>
      <c r="D544">
        <v>3.8146848069866111</v>
      </c>
    </row>
    <row r="545" spans="1:4" x14ac:dyDescent="0.25">
      <c r="A545" t="s">
        <v>5</v>
      </c>
      <c r="B545" s="2">
        <v>42735</v>
      </c>
      <c r="C545" t="s">
        <v>8</v>
      </c>
      <c r="D545">
        <v>-1.0767505817563201</v>
      </c>
    </row>
    <row r="546" spans="1:4" x14ac:dyDescent="0.25">
      <c r="A546" t="s">
        <v>5</v>
      </c>
      <c r="B546" s="2">
        <v>42825</v>
      </c>
      <c r="C546" t="s">
        <v>8</v>
      </c>
      <c r="D546">
        <v>1.71835535466821</v>
      </c>
    </row>
    <row r="547" spans="1:4" x14ac:dyDescent="0.25">
      <c r="A547" t="s">
        <v>5</v>
      </c>
      <c r="B547" s="2">
        <v>42916</v>
      </c>
      <c r="C547" t="s">
        <v>8</v>
      </c>
      <c r="D547">
        <v>0.29977601281182048</v>
      </c>
    </row>
    <row r="548" spans="1:4" x14ac:dyDescent="0.25">
      <c r="A548" t="s">
        <v>5</v>
      </c>
      <c r="B548" s="2">
        <v>43008</v>
      </c>
      <c r="C548" t="s">
        <v>8</v>
      </c>
      <c r="D548">
        <v>0.34303026716544949</v>
      </c>
    </row>
    <row r="549" spans="1:4" x14ac:dyDescent="0.25">
      <c r="A549" t="s">
        <v>5</v>
      </c>
      <c r="B549" s="2">
        <v>43100</v>
      </c>
      <c r="C549" t="s">
        <v>8</v>
      </c>
      <c r="D549">
        <v>0.1881359813204497</v>
      </c>
    </row>
    <row r="550" spans="1:4" x14ac:dyDescent="0.25">
      <c r="A550" t="s">
        <v>5</v>
      </c>
      <c r="B550" s="2">
        <v>43190</v>
      </c>
      <c r="C550" t="s">
        <v>8</v>
      </c>
      <c r="D550">
        <v>-0.6900655578821393</v>
      </c>
    </row>
    <row r="551" spans="1:4" x14ac:dyDescent="0.25">
      <c r="A551" t="s">
        <v>5</v>
      </c>
      <c r="B551" s="2">
        <v>43281</v>
      </c>
      <c r="C551" t="s">
        <v>8</v>
      </c>
      <c r="D551">
        <v>-1.245061696498031</v>
      </c>
    </row>
    <row r="552" spans="1:4" x14ac:dyDescent="0.25">
      <c r="A552" t="s">
        <v>5</v>
      </c>
      <c r="B552" s="2">
        <v>43373</v>
      </c>
      <c r="C552" t="s">
        <v>8</v>
      </c>
      <c r="D552">
        <v>-1.25287149242299</v>
      </c>
    </row>
    <row r="553" spans="1:4" x14ac:dyDescent="0.25">
      <c r="A553" t="s">
        <v>5</v>
      </c>
      <c r="B553" s="2">
        <v>43465</v>
      </c>
      <c r="C553" t="s">
        <v>8</v>
      </c>
      <c r="D553">
        <v>-0.83174326600796888</v>
      </c>
    </row>
    <row r="554" spans="1:4" x14ac:dyDescent="0.25">
      <c r="A554" t="s">
        <v>5</v>
      </c>
      <c r="B554" s="2">
        <v>43555</v>
      </c>
      <c r="C554" t="s">
        <v>8</v>
      </c>
      <c r="D554">
        <v>1.7311714300322389</v>
      </c>
    </row>
    <row r="555" spans="1:4" x14ac:dyDescent="0.25">
      <c r="A555" t="s">
        <v>5</v>
      </c>
      <c r="B555" s="2">
        <v>43646</v>
      </c>
      <c r="C555" t="s">
        <v>8</v>
      </c>
      <c r="D555">
        <v>-0.64480879175289019</v>
      </c>
    </row>
    <row r="556" spans="1:4" x14ac:dyDescent="0.25">
      <c r="A556" t="s">
        <v>5</v>
      </c>
      <c r="B556" s="2">
        <v>43738</v>
      </c>
      <c r="C556" t="s">
        <v>8</v>
      </c>
      <c r="D556">
        <v>2.8235416036380911E-2</v>
      </c>
    </row>
    <row r="557" spans="1:4" x14ac:dyDescent="0.25">
      <c r="A557" t="s">
        <v>5</v>
      </c>
      <c r="B557" s="2">
        <v>43830</v>
      </c>
      <c r="C557" t="s">
        <v>8</v>
      </c>
      <c r="D557">
        <v>1.13272078588518</v>
      </c>
    </row>
    <row r="558" spans="1:4" x14ac:dyDescent="0.25">
      <c r="A558" t="s">
        <v>5</v>
      </c>
      <c r="B558" s="2">
        <v>43921</v>
      </c>
      <c r="C558" t="s">
        <v>8</v>
      </c>
      <c r="D558">
        <v>-1.5052881017411599</v>
      </c>
    </row>
    <row r="559" spans="1:4" x14ac:dyDescent="0.25">
      <c r="A559" t="s">
        <v>5</v>
      </c>
      <c r="B559" s="2">
        <v>44012</v>
      </c>
      <c r="C559" t="s">
        <v>8</v>
      </c>
      <c r="D559">
        <v>2.4050166425317698</v>
      </c>
    </row>
    <row r="560" spans="1:4" x14ac:dyDescent="0.25">
      <c r="A560" t="s">
        <v>5</v>
      </c>
      <c r="B560" s="2">
        <v>44104</v>
      </c>
      <c r="C560" t="s">
        <v>8</v>
      </c>
      <c r="D560">
        <v>3.8752607881994088</v>
      </c>
    </row>
    <row r="561" spans="1:4" x14ac:dyDescent="0.25">
      <c r="A561" t="s">
        <v>5</v>
      </c>
      <c r="B561" s="2">
        <v>44196</v>
      </c>
      <c r="C561" t="s">
        <v>8</v>
      </c>
      <c r="D561">
        <v>1.487565872526829</v>
      </c>
    </row>
    <row r="562" spans="1:4" x14ac:dyDescent="0.25">
      <c r="A562" t="s">
        <v>5</v>
      </c>
      <c r="B562" s="2">
        <v>44286</v>
      </c>
      <c r="C562" t="s">
        <v>8</v>
      </c>
      <c r="D562">
        <v>-1.854726406588618</v>
      </c>
    </row>
    <row r="563" spans="1:4" x14ac:dyDescent="0.25">
      <c r="A563" t="s">
        <v>5</v>
      </c>
      <c r="B563" s="2">
        <v>44377</v>
      </c>
      <c r="C563" t="s">
        <v>8</v>
      </c>
      <c r="D563">
        <v>1.82899413027177</v>
      </c>
    </row>
    <row r="564" spans="1:4" x14ac:dyDescent="0.25">
      <c r="A564" t="s">
        <v>5</v>
      </c>
      <c r="B564" s="2">
        <v>44469</v>
      </c>
      <c r="C564" t="s">
        <v>8</v>
      </c>
      <c r="D564">
        <v>-5.388358685865521</v>
      </c>
    </row>
    <row r="565" spans="1:4" x14ac:dyDescent="0.25">
      <c r="A565" t="s">
        <v>5</v>
      </c>
      <c r="B565" s="2">
        <v>44561</v>
      </c>
      <c r="C565" t="s">
        <v>8</v>
      </c>
      <c r="D565">
        <v>-0.78538511840212877</v>
      </c>
    </row>
    <row r="566" spans="1:4" x14ac:dyDescent="0.25">
      <c r="A566" t="s">
        <v>5</v>
      </c>
      <c r="B566" s="2">
        <v>44651</v>
      </c>
      <c r="C566" t="s">
        <v>8</v>
      </c>
      <c r="D566">
        <v>-0.61086621715598</v>
      </c>
    </row>
    <row r="567" spans="1:4" x14ac:dyDescent="0.25">
      <c r="A567" t="s">
        <v>5</v>
      </c>
      <c r="B567" s="2">
        <v>44742</v>
      </c>
      <c r="C567" t="s">
        <v>8</v>
      </c>
      <c r="D567">
        <v>-3.6846216671591492E-2</v>
      </c>
    </row>
    <row r="568" spans="1:4" x14ac:dyDescent="0.25">
      <c r="A568" t="s">
        <v>5</v>
      </c>
      <c r="B568" s="2">
        <v>44834</v>
      </c>
      <c r="C568" t="s">
        <v>8</v>
      </c>
      <c r="D568">
        <v>-2.186442482221739</v>
      </c>
    </row>
    <row r="569" spans="1:4" x14ac:dyDescent="0.25">
      <c r="A569" t="s">
        <v>5</v>
      </c>
      <c r="B569" s="2">
        <v>44926</v>
      </c>
      <c r="C569" t="s">
        <v>8</v>
      </c>
      <c r="D569">
        <v>2.0377559828811989</v>
      </c>
    </row>
    <row r="570" spans="1:4" x14ac:dyDescent="0.25">
      <c r="A570" t="s">
        <v>5</v>
      </c>
      <c r="B570" s="2">
        <v>45016</v>
      </c>
      <c r="C570" t="s">
        <v>8</v>
      </c>
      <c r="D570">
        <v>0.60005265356757143</v>
      </c>
    </row>
    <row r="571" spans="1:4" x14ac:dyDescent="0.25">
      <c r="A571" t="s">
        <v>5</v>
      </c>
      <c r="B571" s="2">
        <v>45107</v>
      </c>
      <c r="C571" t="s">
        <v>8</v>
      </c>
      <c r="D571">
        <v>-2.307294067881021</v>
      </c>
    </row>
    <row r="572" spans="1:4" x14ac:dyDescent="0.25">
      <c r="A572" t="s">
        <v>5</v>
      </c>
      <c r="B572" s="2">
        <v>45199</v>
      </c>
      <c r="C572" t="s">
        <v>8</v>
      </c>
      <c r="D572">
        <v>0.69927711205003007</v>
      </c>
    </row>
    <row r="573" spans="1:4" x14ac:dyDescent="0.25">
      <c r="A573" t="s">
        <v>5</v>
      </c>
      <c r="B573" s="2">
        <v>45291</v>
      </c>
      <c r="C573" t="s">
        <v>8</v>
      </c>
      <c r="D573">
        <v>-0.8792027950904</v>
      </c>
    </row>
    <row r="574" spans="1:4" x14ac:dyDescent="0.25">
      <c r="A574" t="s">
        <v>5</v>
      </c>
      <c r="B574" s="2">
        <v>45382</v>
      </c>
      <c r="C574" t="s">
        <v>8</v>
      </c>
      <c r="D574">
        <v>-0.1921410048717096</v>
      </c>
    </row>
    <row r="575" spans="1:4" x14ac:dyDescent="0.25">
      <c r="A575" t="s">
        <v>5</v>
      </c>
      <c r="B575" s="2">
        <v>45473</v>
      </c>
      <c r="C575" t="s">
        <v>8</v>
      </c>
      <c r="D575">
        <v>0.54288094237332984</v>
      </c>
    </row>
    <row r="576" spans="1:4" x14ac:dyDescent="0.25">
      <c r="A576" t="s">
        <v>5</v>
      </c>
      <c r="B576" s="2">
        <v>45565</v>
      </c>
      <c r="C576" t="s">
        <v>8</v>
      </c>
      <c r="D576">
        <v>1.625473262899799</v>
      </c>
    </row>
    <row r="577" spans="1:4" x14ac:dyDescent="0.25">
      <c r="A577" t="s">
        <v>5</v>
      </c>
      <c r="B577" s="2">
        <v>45657</v>
      </c>
      <c r="C577" t="s">
        <v>8</v>
      </c>
      <c r="D577">
        <v>-2.1399999999999988</v>
      </c>
    </row>
    <row r="578" spans="1:4" x14ac:dyDescent="0.25">
      <c r="A578" t="s">
        <v>4</v>
      </c>
      <c r="B578" s="2">
        <v>36981</v>
      </c>
      <c r="C578" t="s">
        <v>9</v>
      </c>
    </row>
    <row r="579" spans="1:4" x14ac:dyDescent="0.25">
      <c r="A579" t="s">
        <v>4</v>
      </c>
      <c r="B579" s="2">
        <v>37072</v>
      </c>
      <c r="C579" t="s">
        <v>9</v>
      </c>
      <c r="D579">
        <v>-41344586624.876007</v>
      </c>
    </row>
    <row r="580" spans="1:4" x14ac:dyDescent="0.25">
      <c r="A580" t="s">
        <v>4</v>
      </c>
      <c r="B580" s="2">
        <v>37164</v>
      </c>
      <c r="C580" t="s">
        <v>9</v>
      </c>
      <c r="D580">
        <v>-52396091329.843201</v>
      </c>
    </row>
    <row r="581" spans="1:4" x14ac:dyDescent="0.25">
      <c r="A581" t="s">
        <v>4</v>
      </c>
      <c r="B581" s="2">
        <v>37256</v>
      </c>
      <c r="C581" t="s">
        <v>9</v>
      </c>
      <c r="D581">
        <v>28482641944.47662</v>
      </c>
    </row>
    <row r="582" spans="1:4" x14ac:dyDescent="0.25">
      <c r="A582" t="s">
        <v>4</v>
      </c>
      <c r="B582" s="2">
        <v>37346</v>
      </c>
      <c r="C582" t="s">
        <v>9</v>
      </c>
      <c r="D582">
        <v>33381270938.5802</v>
      </c>
    </row>
    <row r="583" spans="1:4" x14ac:dyDescent="0.25">
      <c r="A583" t="s">
        <v>4</v>
      </c>
      <c r="B583" s="2">
        <v>37437</v>
      </c>
      <c r="C583" t="s">
        <v>9</v>
      </c>
      <c r="D583">
        <v>7378355995.5585022</v>
      </c>
    </row>
    <row r="584" spans="1:4" x14ac:dyDescent="0.25">
      <c r="A584" t="s">
        <v>4</v>
      </c>
      <c r="B584" s="2">
        <v>37529</v>
      </c>
      <c r="C584" t="s">
        <v>9</v>
      </c>
      <c r="D584">
        <v>-32025005738.290409</v>
      </c>
    </row>
    <row r="585" spans="1:4" x14ac:dyDescent="0.25">
      <c r="A585" t="s">
        <v>4</v>
      </c>
      <c r="B585" s="2">
        <v>37621</v>
      </c>
      <c r="C585" t="s">
        <v>9</v>
      </c>
      <c r="D585">
        <v>20857502523.9505</v>
      </c>
    </row>
    <row r="586" spans="1:4" x14ac:dyDescent="0.25">
      <c r="A586" t="s">
        <v>4</v>
      </c>
      <c r="B586" s="2">
        <v>37711</v>
      </c>
      <c r="C586" t="s">
        <v>9</v>
      </c>
      <c r="D586">
        <v>-34323110680.21051</v>
      </c>
    </row>
    <row r="587" spans="1:4" x14ac:dyDescent="0.25">
      <c r="A587" t="s">
        <v>4</v>
      </c>
      <c r="B587" s="2">
        <v>37802</v>
      </c>
      <c r="C587" t="s">
        <v>9</v>
      </c>
      <c r="D587">
        <v>70757637944.825989</v>
      </c>
    </row>
    <row r="588" spans="1:4" x14ac:dyDescent="0.25">
      <c r="A588" t="s">
        <v>4</v>
      </c>
      <c r="B588" s="2">
        <v>37894</v>
      </c>
      <c r="C588" t="s">
        <v>9</v>
      </c>
      <c r="D588">
        <v>63785325885.768799</v>
      </c>
    </row>
    <row r="589" spans="1:4" x14ac:dyDescent="0.25">
      <c r="A589" t="s">
        <v>4</v>
      </c>
      <c r="B589" s="2">
        <v>37986</v>
      </c>
      <c r="C589" t="s">
        <v>9</v>
      </c>
      <c r="D589">
        <v>93296629833.420593</v>
      </c>
    </row>
    <row r="590" spans="1:4" x14ac:dyDescent="0.25">
      <c r="A590" t="s">
        <v>4</v>
      </c>
      <c r="B590" s="2">
        <v>38077</v>
      </c>
      <c r="C590" t="s">
        <v>9</v>
      </c>
      <c r="D590">
        <v>-21989754266.30859</v>
      </c>
    </row>
    <row r="591" spans="1:4" x14ac:dyDescent="0.25">
      <c r="A591" t="s">
        <v>4</v>
      </c>
      <c r="B591" s="2">
        <v>38168</v>
      </c>
      <c r="C591" t="s">
        <v>9</v>
      </c>
      <c r="D591">
        <v>-53894410463.09021</v>
      </c>
    </row>
    <row r="592" spans="1:4" x14ac:dyDescent="0.25">
      <c r="A592" t="s">
        <v>4</v>
      </c>
      <c r="B592" s="2">
        <v>38260</v>
      </c>
      <c r="C592" t="s">
        <v>9</v>
      </c>
      <c r="D592">
        <v>82936979821.589905</v>
      </c>
    </row>
    <row r="593" spans="1:4" x14ac:dyDescent="0.25">
      <c r="A593" t="s">
        <v>4</v>
      </c>
      <c r="B593" s="2">
        <v>38352</v>
      </c>
      <c r="C593" t="s">
        <v>9</v>
      </c>
      <c r="D593">
        <v>161662229564.82339</v>
      </c>
    </row>
    <row r="594" spans="1:4" x14ac:dyDescent="0.25">
      <c r="A594" t="s">
        <v>4</v>
      </c>
      <c r="B594" s="2">
        <v>38442</v>
      </c>
      <c r="C594" t="s">
        <v>9</v>
      </c>
      <c r="D594">
        <v>2916353505.6430659</v>
      </c>
    </row>
    <row r="595" spans="1:4" x14ac:dyDescent="0.25">
      <c r="A595" t="s">
        <v>4</v>
      </c>
      <c r="B595" s="2">
        <v>38533</v>
      </c>
      <c r="C595" t="s">
        <v>9</v>
      </c>
      <c r="D595">
        <v>6894475691.4238281</v>
      </c>
    </row>
    <row r="596" spans="1:4" x14ac:dyDescent="0.25">
      <c r="A596" t="s">
        <v>4</v>
      </c>
      <c r="B596" s="2">
        <v>38625</v>
      </c>
      <c r="C596" t="s">
        <v>9</v>
      </c>
      <c r="D596">
        <v>170153990232.87939</v>
      </c>
    </row>
    <row r="597" spans="1:4" x14ac:dyDescent="0.25">
      <c r="A597" t="s">
        <v>4</v>
      </c>
      <c r="B597" s="2">
        <v>38717</v>
      </c>
      <c r="C597" t="s">
        <v>9</v>
      </c>
      <c r="D597">
        <v>65545896073.820801</v>
      </c>
    </row>
    <row r="598" spans="1:4" x14ac:dyDescent="0.25">
      <c r="A598" t="s">
        <v>4</v>
      </c>
      <c r="B598" s="2">
        <v>38807</v>
      </c>
      <c r="C598" t="s">
        <v>9</v>
      </c>
      <c r="D598">
        <v>184523871853.23679</v>
      </c>
    </row>
    <row r="599" spans="1:4" x14ac:dyDescent="0.25">
      <c r="A599" t="s">
        <v>4</v>
      </c>
      <c r="B599" s="2">
        <v>38898</v>
      </c>
      <c r="C599" t="s">
        <v>9</v>
      </c>
      <c r="D599">
        <v>-120834003322.90041</v>
      </c>
    </row>
    <row r="600" spans="1:4" x14ac:dyDescent="0.25">
      <c r="A600" t="s">
        <v>4</v>
      </c>
      <c r="B600" s="2">
        <v>38990</v>
      </c>
      <c r="C600" t="s">
        <v>9</v>
      </c>
      <c r="D600">
        <v>67242957833.175293</v>
      </c>
    </row>
    <row r="601" spans="1:4" x14ac:dyDescent="0.25">
      <c r="A601" t="s">
        <v>4</v>
      </c>
      <c r="B601" s="2">
        <v>39082</v>
      </c>
      <c r="C601" t="s">
        <v>9</v>
      </c>
      <c r="D601">
        <v>181618918957.17111</v>
      </c>
    </row>
    <row r="602" spans="1:4" x14ac:dyDescent="0.25">
      <c r="A602" t="s">
        <v>4</v>
      </c>
      <c r="B602" s="2">
        <v>39172</v>
      </c>
      <c r="C602" t="s">
        <v>9</v>
      </c>
      <c r="D602">
        <v>-85296228329.959106</v>
      </c>
    </row>
    <row r="603" spans="1:4" x14ac:dyDescent="0.25">
      <c r="A603" t="s">
        <v>4</v>
      </c>
      <c r="B603" s="2">
        <v>39263</v>
      </c>
      <c r="C603" t="s">
        <v>9</v>
      </c>
      <c r="D603">
        <v>179102592087.88101</v>
      </c>
    </row>
    <row r="604" spans="1:4" x14ac:dyDescent="0.25">
      <c r="A604" t="s">
        <v>4</v>
      </c>
      <c r="B604" s="2">
        <v>39355</v>
      </c>
      <c r="C604" t="s">
        <v>9</v>
      </c>
      <c r="D604">
        <v>341419173747.92407</v>
      </c>
    </row>
    <row r="605" spans="1:4" x14ac:dyDescent="0.25">
      <c r="A605" t="s">
        <v>4</v>
      </c>
      <c r="B605" s="2">
        <v>39447</v>
      </c>
      <c r="C605" t="s">
        <v>9</v>
      </c>
      <c r="D605">
        <v>391707994723.03912</v>
      </c>
    </row>
    <row r="606" spans="1:4" x14ac:dyDescent="0.25">
      <c r="A606" t="s">
        <v>4</v>
      </c>
      <c r="B606" s="2">
        <v>39538</v>
      </c>
      <c r="C606" t="s">
        <v>9</v>
      </c>
      <c r="D606">
        <v>-442754387375.23712</v>
      </c>
    </row>
    <row r="607" spans="1:4" x14ac:dyDescent="0.25">
      <c r="A607" t="s">
        <v>4</v>
      </c>
      <c r="B607" s="2">
        <v>39629</v>
      </c>
      <c r="C607" t="s">
        <v>9</v>
      </c>
      <c r="D607">
        <v>-344062392116.146</v>
      </c>
    </row>
    <row r="608" spans="1:4" x14ac:dyDescent="0.25">
      <c r="A608" t="s">
        <v>4</v>
      </c>
      <c r="B608" s="2">
        <v>39721</v>
      </c>
      <c r="C608" t="s">
        <v>9</v>
      </c>
      <c r="D608">
        <v>-29734916395.51392</v>
      </c>
    </row>
    <row r="609" spans="1:4" x14ac:dyDescent="0.25">
      <c r="A609" t="s">
        <v>4</v>
      </c>
      <c r="B609" s="2">
        <v>39813</v>
      </c>
      <c r="C609" t="s">
        <v>9</v>
      </c>
      <c r="D609">
        <v>-305497185714.65002</v>
      </c>
    </row>
    <row r="610" spans="1:4" x14ac:dyDescent="0.25">
      <c r="A610" t="s">
        <v>4</v>
      </c>
      <c r="B610" s="2">
        <v>39903</v>
      </c>
      <c r="C610" t="s">
        <v>9</v>
      </c>
      <c r="D610">
        <v>-70398751419.473389</v>
      </c>
    </row>
    <row r="611" spans="1:4" x14ac:dyDescent="0.25">
      <c r="A611" t="s">
        <v>4</v>
      </c>
      <c r="B611" s="2">
        <v>39994</v>
      </c>
      <c r="C611" t="s">
        <v>9</v>
      </c>
      <c r="D611">
        <v>481614645927.89728</v>
      </c>
    </row>
    <row r="612" spans="1:4" x14ac:dyDescent="0.25">
      <c r="A612" t="s">
        <v>4</v>
      </c>
      <c r="B612" s="2">
        <v>40086</v>
      </c>
      <c r="C612" t="s">
        <v>9</v>
      </c>
      <c r="D612">
        <v>70481200661.983887</v>
      </c>
    </row>
    <row r="613" spans="1:4" x14ac:dyDescent="0.25">
      <c r="A613" t="s">
        <v>4</v>
      </c>
      <c r="B613" s="2">
        <v>40178</v>
      </c>
      <c r="C613" t="s">
        <v>9</v>
      </c>
      <c r="D613">
        <v>38501784188.133057</v>
      </c>
    </row>
    <row r="614" spans="1:4" x14ac:dyDescent="0.25">
      <c r="A614" t="s">
        <v>4</v>
      </c>
      <c r="B614" s="2">
        <v>40268</v>
      </c>
      <c r="C614" t="s">
        <v>9</v>
      </c>
      <c r="D614">
        <v>46800003856.717041</v>
      </c>
    </row>
    <row r="615" spans="1:4" x14ac:dyDescent="0.25">
      <c r="A615" t="s">
        <v>4</v>
      </c>
      <c r="B615" s="2">
        <v>40359</v>
      </c>
      <c r="C615" t="s">
        <v>9</v>
      </c>
      <c r="D615">
        <v>80053116617.848877</v>
      </c>
    </row>
    <row r="616" spans="1:4" x14ac:dyDescent="0.25">
      <c r="A616" t="s">
        <v>4</v>
      </c>
      <c r="B616" s="2">
        <v>40451</v>
      </c>
      <c r="C616" t="s">
        <v>9</v>
      </c>
      <c r="D616">
        <v>75202151605.37207</v>
      </c>
    </row>
    <row r="617" spans="1:4" x14ac:dyDescent="0.25">
      <c r="A617" t="s">
        <v>4</v>
      </c>
      <c r="B617" s="2">
        <v>40543</v>
      </c>
      <c r="C617" t="s">
        <v>9</v>
      </c>
      <c r="D617">
        <v>2607920943.0109859</v>
      </c>
    </row>
    <row r="618" spans="1:4" x14ac:dyDescent="0.25">
      <c r="A618" t="s">
        <v>4</v>
      </c>
      <c r="B618" s="2">
        <v>40633</v>
      </c>
      <c r="C618" t="s">
        <v>9</v>
      </c>
      <c r="D618">
        <v>-94320925651.682861</v>
      </c>
    </row>
    <row r="619" spans="1:4" x14ac:dyDescent="0.25">
      <c r="A619" t="s">
        <v>4</v>
      </c>
      <c r="B619" s="2">
        <v>40724</v>
      </c>
      <c r="C619" t="s">
        <v>9</v>
      </c>
      <c r="D619">
        <v>-34188224631.291019</v>
      </c>
    </row>
    <row r="620" spans="1:4" x14ac:dyDescent="0.25">
      <c r="A620" t="s">
        <v>4</v>
      </c>
      <c r="B620" s="2">
        <v>40816</v>
      </c>
      <c r="C620" t="s">
        <v>9</v>
      </c>
      <c r="D620">
        <v>-245785750648.06491</v>
      </c>
    </row>
    <row r="621" spans="1:4" x14ac:dyDescent="0.25">
      <c r="A621" t="s">
        <v>4</v>
      </c>
      <c r="B621" s="2">
        <v>40908</v>
      </c>
      <c r="C621" t="s">
        <v>9</v>
      </c>
      <c r="D621">
        <v>-117593106954.80811</v>
      </c>
    </row>
    <row r="622" spans="1:4" x14ac:dyDescent="0.25">
      <c r="A622" t="s">
        <v>4</v>
      </c>
      <c r="B622" s="2">
        <v>40999</v>
      </c>
      <c r="C622" t="s">
        <v>9</v>
      </c>
      <c r="D622">
        <v>145530548426.09109</v>
      </c>
    </row>
    <row r="623" spans="1:4" x14ac:dyDescent="0.25">
      <c r="A623" t="s">
        <v>4</v>
      </c>
      <c r="B623" s="2">
        <v>41090</v>
      </c>
      <c r="C623" t="s">
        <v>9</v>
      </c>
      <c r="D623">
        <v>-56059806812.985107</v>
      </c>
    </row>
    <row r="624" spans="1:4" x14ac:dyDescent="0.25">
      <c r="A624" t="s">
        <v>4</v>
      </c>
      <c r="B624" s="2">
        <v>41182</v>
      </c>
      <c r="C624" t="s">
        <v>9</v>
      </c>
      <c r="D624">
        <v>36369359043.578117</v>
      </c>
    </row>
    <row r="625" spans="1:4" x14ac:dyDescent="0.25">
      <c r="A625" t="s">
        <v>4</v>
      </c>
      <c r="B625" s="2">
        <v>41274</v>
      </c>
      <c r="C625" t="s">
        <v>9</v>
      </c>
      <c r="D625">
        <v>37701928479.407959</v>
      </c>
    </row>
    <row r="626" spans="1:4" x14ac:dyDescent="0.25">
      <c r="A626" t="s">
        <v>4</v>
      </c>
      <c r="B626" s="2">
        <v>41364</v>
      </c>
      <c r="C626" t="s">
        <v>9</v>
      </c>
      <c r="D626">
        <v>-95293232996.989014</v>
      </c>
    </row>
    <row r="627" spans="1:4" x14ac:dyDescent="0.25">
      <c r="A627" t="s">
        <v>4</v>
      </c>
      <c r="B627" s="2">
        <v>41455</v>
      </c>
      <c r="C627" t="s">
        <v>9</v>
      </c>
      <c r="D627">
        <v>-25938369519.193119</v>
      </c>
    </row>
    <row r="628" spans="1:4" x14ac:dyDescent="0.25">
      <c r="A628" t="s">
        <v>4</v>
      </c>
      <c r="B628" s="2">
        <v>41547</v>
      </c>
      <c r="C628" t="s">
        <v>9</v>
      </c>
      <c r="D628">
        <v>-43520352963.405029</v>
      </c>
    </row>
    <row r="629" spans="1:4" x14ac:dyDescent="0.25">
      <c r="A629" t="s">
        <v>4</v>
      </c>
      <c r="B629" s="2">
        <v>41639</v>
      </c>
      <c r="C629" t="s">
        <v>9</v>
      </c>
      <c r="D629">
        <v>64441886508.301033</v>
      </c>
    </row>
    <row r="630" spans="1:4" x14ac:dyDescent="0.25">
      <c r="A630" t="s">
        <v>4</v>
      </c>
      <c r="B630" s="2">
        <v>41729</v>
      </c>
      <c r="C630" t="s">
        <v>9</v>
      </c>
      <c r="D630">
        <v>82058970160.337158</v>
      </c>
    </row>
    <row r="631" spans="1:4" x14ac:dyDescent="0.25">
      <c r="A631" t="s">
        <v>4</v>
      </c>
      <c r="B631" s="2">
        <v>41820</v>
      </c>
      <c r="C631" t="s">
        <v>9</v>
      </c>
      <c r="D631">
        <v>260342670287.728</v>
      </c>
    </row>
    <row r="632" spans="1:4" x14ac:dyDescent="0.25">
      <c r="A632" t="s">
        <v>4</v>
      </c>
      <c r="B632" s="2">
        <v>41912</v>
      </c>
      <c r="C632" t="s">
        <v>9</v>
      </c>
      <c r="D632">
        <v>6752492354.6428223</v>
      </c>
    </row>
    <row r="633" spans="1:4" x14ac:dyDescent="0.25">
      <c r="A633" t="s">
        <v>4</v>
      </c>
      <c r="B633" s="2">
        <v>42004</v>
      </c>
      <c r="C633" t="s">
        <v>9</v>
      </c>
      <c r="D633">
        <v>33154122645.105961</v>
      </c>
    </row>
    <row r="634" spans="1:4" x14ac:dyDescent="0.25">
      <c r="A634" t="s">
        <v>4</v>
      </c>
      <c r="B634" s="2">
        <v>42094</v>
      </c>
      <c r="C634" t="s">
        <v>9</v>
      </c>
      <c r="D634">
        <v>84105088961.976074</v>
      </c>
    </row>
    <row r="635" spans="1:4" x14ac:dyDescent="0.25">
      <c r="A635" t="s">
        <v>4</v>
      </c>
      <c r="B635" s="2">
        <v>42185</v>
      </c>
      <c r="C635" t="s">
        <v>9</v>
      </c>
      <c r="D635">
        <v>-30365388607.397949</v>
      </c>
    </row>
    <row r="636" spans="1:4" x14ac:dyDescent="0.25">
      <c r="A636" t="s">
        <v>4</v>
      </c>
      <c r="B636" s="2">
        <v>42277</v>
      </c>
      <c r="C636" t="s">
        <v>9</v>
      </c>
      <c r="D636">
        <v>-136821541132.21091</v>
      </c>
    </row>
    <row r="637" spans="1:4" x14ac:dyDescent="0.25">
      <c r="A637" t="s">
        <v>4</v>
      </c>
      <c r="B637" s="2">
        <v>42369</v>
      </c>
      <c r="C637" t="s">
        <v>9</v>
      </c>
      <c r="D637">
        <v>24285251867.811039</v>
      </c>
    </row>
    <row r="638" spans="1:4" x14ac:dyDescent="0.25">
      <c r="A638" t="s">
        <v>4</v>
      </c>
      <c r="B638" s="2">
        <v>42460</v>
      </c>
      <c r="C638" t="s">
        <v>9</v>
      </c>
      <c r="D638">
        <v>-46780862223.77002</v>
      </c>
    </row>
    <row r="639" spans="1:4" x14ac:dyDescent="0.25">
      <c r="A639" t="s">
        <v>4</v>
      </c>
      <c r="B639" s="2">
        <v>42551</v>
      </c>
      <c r="C639" t="s">
        <v>9</v>
      </c>
      <c r="D639">
        <v>87093223106.649902</v>
      </c>
    </row>
    <row r="640" spans="1:4" x14ac:dyDescent="0.25">
      <c r="A640" t="s">
        <v>4</v>
      </c>
      <c r="B640" s="2">
        <v>42643</v>
      </c>
      <c r="C640" t="s">
        <v>9</v>
      </c>
      <c r="D640">
        <v>63035623172.51001</v>
      </c>
    </row>
    <row r="641" spans="1:4" x14ac:dyDescent="0.25">
      <c r="A641" t="s">
        <v>4</v>
      </c>
      <c r="B641" s="2">
        <v>42735</v>
      </c>
      <c r="C641" t="s">
        <v>9</v>
      </c>
      <c r="D641">
        <v>-53227816067.531982</v>
      </c>
    </row>
    <row r="642" spans="1:4" x14ac:dyDescent="0.25">
      <c r="A642" t="s">
        <v>4</v>
      </c>
      <c r="B642" s="2">
        <v>42825</v>
      </c>
      <c r="C642" t="s">
        <v>9</v>
      </c>
      <c r="D642">
        <v>267823213539.7449</v>
      </c>
    </row>
    <row r="643" spans="1:4" x14ac:dyDescent="0.25">
      <c r="A643" t="s">
        <v>4</v>
      </c>
      <c r="B643" s="2">
        <v>42916</v>
      </c>
      <c r="C643" t="s">
        <v>9</v>
      </c>
      <c r="D643">
        <v>14402881736.599119</v>
      </c>
    </row>
    <row r="644" spans="1:4" x14ac:dyDescent="0.25">
      <c r="A644" t="s">
        <v>4</v>
      </c>
      <c r="B644" s="2">
        <v>43008</v>
      </c>
      <c r="C644" t="s">
        <v>9</v>
      </c>
      <c r="D644">
        <v>45450021328.301033</v>
      </c>
    </row>
    <row r="645" spans="1:4" x14ac:dyDescent="0.25">
      <c r="A645" t="s">
        <v>4</v>
      </c>
      <c r="B645" s="2">
        <v>43100</v>
      </c>
      <c r="C645" t="s">
        <v>9</v>
      </c>
      <c r="D645">
        <v>243979228916.52289</v>
      </c>
    </row>
    <row r="646" spans="1:4" x14ac:dyDescent="0.25">
      <c r="A646" t="s">
        <v>4</v>
      </c>
      <c r="B646" s="2">
        <v>43190</v>
      </c>
      <c r="C646" t="s">
        <v>9</v>
      </c>
      <c r="D646">
        <v>-117521706603.1279</v>
      </c>
    </row>
    <row r="647" spans="1:4" x14ac:dyDescent="0.25">
      <c r="A647" t="s">
        <v>4</v>
      </c>
      <c r="B647" s="2">
        <v>43281</v>
      </c>
      <c r="C647" t="s">
        <v>9</v>
      </c>
      <c r="D647">
        <v>48583892687.815918</v>
      </c>
    </row>
    <row r="648" spans="1:4" x14ac:dyDescent="0.25">
      <c r="A648" t="s">
        <v>4</v>
      </c>
      <c r="B648" s="2">
        <v>43373</v>
      </c>
      <c r="C648" t="s">
        <v>9</v>
      </c>
      <c r="D648">
        <v>-105426328251.21091</v>
      </c>
    </row>
    <row r="649" spans="1:4" x14ac:dyDescent="0.25">
      <c r="A649" t="s">
        <v>4</v>
      </c>
      <c r="B649" s="2">
        <v>43465</v>
      </c>
      <c r="C649" t="s">
        <v>9</v>
      </c>
      <c r="D649">
        <v>19401892802.217041</v>
      </c>
    </row>
    <row r="650" spans="1:4" x14ac:dyDescent="0.25">
      <c r="A650" t="s">
        <v>4</v>
      </c>
      <c r="B650" s="2">
        <v>43555</v>
      </c>
      <c r="C650" t="s">
        <v>9</v>
      </c>
      <c r="D650">
        <v>23694918004.234859</v>
      </c>
    </row>
    <row r="651" spans="1:4" x14ac:dyDescent="0.25">
      <c r="A651" t="s">
        <v>4</v>
      </c>
      <c r="B651" s="2">
        <v>43646</v>
      </c>
      <c r="C651" t="s">
        <v>9</v>
      </c>
      <c r="D651">
        <v>-5783260382.9770508</v>
      </c>
    </row>
    <row r="652" spans="1:4" x14ac:dyDescent="0.25">
      <c r="A652" t="s">
        <v>4</v>
      </c>
      <c r="B652" s="2">
        <v>43738</v>
      </c>
      <c r="C652" t="s">
        <v>9</v>
      </c>
      <c r="D652">
        <v>-100011099454.136</v>
      </c>
    </row>
    <row r="653" spans="1:4" x14ac:dyDescent="0.25">
      <c r="A653" t="s">
        <v>4</v>
      </c>
      <c r="B653" s="2">
        <v>43830</v>
      </c>
      <c r="C653" t="s">
        <v>9</v>
      </c>
      <c r="D653">
        <v>62116115346.750977</v>
      </c>
    </row>
    <row r="654" spans="1:4" x14ac:dyDescent="0.25">
      <c r="A654" t="s">
        <v>4</v>
      </c>
      <c r="B654" s="2">
        <v>43921</v>
      </c>
      <c r="C654" t="s">
        <v>9</v>
      </c>
      <c r="D654">
        <v>-524412618626.85992</v>
      </c>
    </row>
    <row r="655" spans="1:4" x14ac:dyDescent="0.25">
      <c r="A655" t="s">
        <v>4</v>
      </c>
      <c r="B655" s="2">
        <v>44012</v>
      </c>
      <c r="C655" t="s">
        <v>9</v>
      </c>
      <c r="D655">
        <v>306708424789.8501</v>
      </c>
    </row>
    <row r="656" spans="1:4" x14ac:dyDescent="0.25">
      <c r="A656" t="s">
        <v>4</v>
      </c>
      <c r="B656" s="2">
        <v>44104</v>
      </c>
      <c r="C656" t="s">
        <v>9</v>
      </c>
      <c r="D656">
        <v>154725278773.28589</v>
      </c>
    </row>
    <row r="657" spans="1:4" x14ac:dyDescent="0.25">
      <c r="A657" t="s">
        <v>4</v>
      </c>
      <c r="B657" s="2">
        <v>44196</v>
      </c>
      <c r="C657" t="s">
        <v>9</v>
      </c>
      <c r="D657">
        <v>356788905889.81488</v>
      </c>
    </row>
    <row r="658" spans="1:4" x14ac:dyDescent="0.25">
      <c r="A658" t="s">
        <v>4</v>
      </c>
      <c r="B658" s="2">
        <v>44286</v>
      </c>
      <c r="C658" t="s">
        <v>9</v>
      </c>
      <c r="D658">
        <v>202333081845.00201</v>
      </c>
    </row>
    <row r="659" spans="1:4" x14ac:dyDescent="0.25">
      <c r="A659" t="s">
        <v>4</v>
      </c>
      <c r="B659" s="2">
        <v>44377</v>
      </c>
      <c r="C659" t="s">
        <v>9</v>
      </c>
      <c r="D659">
        <v>260758221963.71091</v>
      </c>
    </row>
    <row r="660" spans="1:4" x14ac:dyDescent="0.25">
      <c r="A660" t="s">
        <v>4</v>
      </c>
      <c r="B660" s="2">
        <v>44469</v>
      </c>
      <c r="C660" t="s">
        <v>9</v>
      </c>
      <c r="D660">
        <v>297180360818.76221</v>
      </c>
    </row>
    <row r="661" spans="1:4" x14ac:dyDescent="0.25">
      <c r="A661" t="s">
        <v>4</v>
      </c>
      <c r="B661" s="2">
        <v>44561</v>
      </c>
      <c r="C661" t="s">
        <v>9</v>
      </c>
      <c r="D661">
        <v>14413212012.78516</v>
      </c>
    </row>
    <row r="662" spans="1:4" x14ac:dyDescent="0.25">
      <c r="A662" t="s">
        <v>4</v>
      </c>
      <c r="B662" s="2">
        <v>44651</v>
      </c>
      <c r="C662" t="s">
        <v>9</v>
      </c>
      <c r="D662">
        <v>-22662188760.519039</v>
      </c>
    </row>
    <row r="663" spans="1:4" x14ac:dyDescent="0.25">
      <c r="A663" t="s">
        <v>4</v>
      </c>
      <c r="B663" s="2">
        <v>44742</v>
      </c>
      <c r="C663" t="s">
        <v>9</v>
      </c>
      <c r="D663">
        <v>-299276186802.28912</v>
      </c>
    </row>
    <row r="664" spans="1:4" x14ac:dyDescent="0.25">
      <c r="A664" t="s">
        <v>4</v>
      </c>
      <c r="B664" s="2">
        <v>44834</v>
      </c>
      <c r="C664" t="s">
        <v>9</v>
      </c>
      <c r="D664">
        <v>267160521568.1709</v>
      </c>
    </row>
    <row r="665" spans="1:4" x14ac:dyDescent="0.25">
      <c r="A665" t="s">
        <v>4</v>
      </c>
      <c r="B665" s="2">
        <v>44926</v>
      </c>
      <c r="C665" t="s">
        <v>9</v>
      </c>
      <c r="D665">
        <v>68788781256.453125</v>
      </c>
    </row>
    <row r="666" spans="1:4" x14ac:dyDescent="0.25">
      <c r="A666" t="s">
        <v>4</v>
      </c>
      <c r="B666" s="2">
        <v>45016</v>
      </c>
      <c r="C666" t="s">
        <v>9</v>
      </c>
      <c r="D666">
        <v>-268745476951.061</v>
      </c>
    </row>
    <row r="667" spans="1:4" x14ac:dyDescent="0.25">
      <c r="A667" t="s">
        <v>4</v>
      </c>
      <c r="B667" s="2">
        <v>45107</v>
      </c>
      <c r="C667" t="s">
        <v>9</v>
      </c>
      <c r="D667">
        <v>356854801705.81488</v>
      </c>
    </row>
    <row r="668" spans="1:4" x14ac:dyDescent="0.25">
      <c r="A668" t="s">
        <v>4</v>
      </c>
      <c r="B668" s="2">
        <v>45199</v>
      </c>
      <c r="C668" t="s">
        <v>9</v>
      </c>
      <c r="D668">
        <v>147476988944.7529</v>
      </c>
    </row>
    <row r="669" spans="1:4" x14ac:dyDescent="0.25">
      <c r="A669" t="s">
        <v>4</v>
      </c>
      <c r="B669" s="2">
        <v>45291</v>
      </c>
      <c r="C669" t="s">
        <v>9</v>
      </c>
      <c r="D669">
        <v>461848881581.08691</v>
      </c>
    </row>
    <row r="670" spans="1:4" x14ac:dyDescent="0.25">
      <c r="A670" t="s">
        <v>4</v>
      </c>
      <c r="B670" s="2">
        <v>45382</v>
      </c>
      <c r="C670" t="s">
        <v>9</v>
      </c>
      <c r="D670">
        <v>224653602750.52829</v>
      </c>
    </row>
    <row r="671" spans="1:4" x14ac:dyDescent="0.25">
      <c r="A671" t="s">
        <v>4</v>
      </c>
      <c r="B671" s="2">
        <v>45473</v>
      </c>
      <c r="C671" t="s">
        <v>9</v>
      </c>
      <c r="D671">
        <v>457403616624.63568</v>
      </c>
    </row>
    <row r="672" spans="1:4" x14ac:dyDescent="0.25">
      <c r="A672" t="s">
        <v>4</v>
      </c>
      <c r="B672" s="2">
        <v>45565</v>
      </c>
      <c r="C672" t="s">
        <v>9</v>
      </c>
      <c r="D672">
        <v>301363080153.18121</v>
      </c>
    </row>
    <row r="673" spans="1:4" x14ac:dyDescent="0.25">
      <c r="A673" t="s">
        <v>4</v>
      </c>
      <c r="B673" s="2">
        <v>45657</v>
      </c>
      <c r="C673" t="s">
        <v>9</v>
      </c>
      <c r="D673">
        <v>-362350017176.16602</v>
      </c>
    </row>
    <row r="674" spans="1:4" x14ac:dyDescent="0.25">
      <c r="A674" t="s">
        <v>5</v>
      </c>
      <c r="B674" s="2">
        <v>36981</v>
      </c>
      <c r="C674" t="s">
        <v>9</v>
      </c>
    </row>
    <row r="675" spans="1:4" x14ac:dyDescent="0.25">
      <c r="A675" t="s">
        <v>5</v>
      </c>
      <c r="B675" s="2">
        <v>37072</v>
      </c>
      <c r="C675" t="s">
        <v>9</v>
      </c>
      <c r="D675">
        <v>71849200123.938965</v>
      </c>
    </row>
    <row r="676" spans="1:4" x14ac:dyDescent="0.25">
      <c r="A676" t="s">
        <v>5</v>
      </c>
      <c r="B676" s="2">
        <v>37164</v>
      </c>
      <c r="C676" t="s">
        <v>9</v>
      </c>
      <c r="D676">
        <v>-164005699966.54489</v>
      </c>
    </row>
    <row r="677" spans="1:4" x14ac:dyDescent="0.25">
      <c r="A677" t="s">
        <v>5</v>
      </c>
      <c r="B677" s="2">
        <v>37256</v>
      </c>
      <c r="C677" t="s">
        <v>9</v>
      </c>
      <c r="D677">
        <v>-61658396274.01709</v>
      </c>
    </row>
    <row r="678" spans="1:4" x14ac:dyDescent="0.25">
      <c r="A678" t="s">
        <v>5</v>
      </c>
      <c r="B678" s="2">
        <v>37346</v>
      </c>
      <c r="C678" t="s">
        <v>9</v>
      </c>
      <c r="D678">
        <v>-16468285853.0907</v>
      </c>
    </row>
    <row r="679" spans="1:4" x14ac:dyDescent="0.25">
      <c r="A679" t="s">
        <v>5</v>
      </c>
      <c r="B679" s="2">
        <v>37437</v>
      </c>
      <c r="C679" t="s">
        <v>9</v>
      </c>
      <c r="D679">
        <v>119741090911.8488</v>
      </c>
    </row>
    <row r="680" spans="1:4" x14ac:dyDescent="0.25">
      <c r="A680" t="s">
        <v>5</v>
      </c>
      <c r="B680" s="2">
        <v>37529</v>
      </c>
      <c r="C680" t="s">
        <v>9</v>
      </c>
      <c r="D680">
        <v>-70863382408.631958</v>
      </c>
    </row>
    <row r="681" spans="1:4" x14ac:dyDescent="0.25">
      <c r="A681" t="s">
        <v>5</v>
      </c>
      <c r="B681" s="2">
        <v>37621</v>
      </c>
      <c r="C681" t="s">
        <v>9</v>
      </c>
      <c r="D681">
        <v>-144908519488.8656</v>
      </c>
    </row>
    <row r="682" spans="1:4" x14ac:dyDescent="0.25">
      <c r="A682" t="s">
        <v>5</v>
      </c>
      <c r="B682" s="2">
        <v>37711</v>
      </c>
      <c r="C682" t="s">
        <v>9</v>
      </c>
      <c r="D682">
        <v>84291037748.985352</v>
      </c>
    </row>
    <row r="683" spans="1:4" x14ac:dyDescent="0.25">
      <c r="A683" t="s">
        <v>5</v>
      </c>
      <c r="B683" s="2">
        <v>37802</v>
      </c>
      <c r="C683" t="s">
        <v>9</v>
      </c>
      <c r="D683">
        <v>-13660108961.38245</v>
      </c>
    </row>
    <row r="684" spans="1:4" x14ac:dyDescent="0.25">
      <c r="A684" t="s">
        <v>5</v>
      </c>
      <c r="B684" s="2">
        <v>37894</v>
      </c>
      <c r="C684" t="s">
        <v>9</v>
      </c>
      <c r="D684">
        <v>-51792080000.729134</v>
      </c>
    </row>
    <row r="685" spans="1:4" x14ac:dyDescent="0.25">
      <c r="A685" t="s">
        <v>5</v>
      </c>
      <c r="B685" s="2">
        <v>37986</v>
      </c>
      <c r="C685" t="s">
        <v>9</v>
      </c>
      <c r="D685">
        <v>50489039966.854492</v>
      </c>
    </row>
    <row r="686" spans="1:4" x14ac:dyDescent="0.25">
      <c r="A686" t="s">
        <v>5</v>
      </c>
      <c r="B686" s="2">
        <v>38077</v>
      </c>
      <c r="C686" t="s">
        <v>9</v>
      </c>
      <c r="D686">
        <v>156951705044.2124</v>
      </c>
    </row>
    <row r="687" spans="1:4" x14ac:dyDescent="0.25">
      <c r="A687" t="s">
        <v>5</v>
      </c>
      <c r="B687" s="2">
        <v>38168</v>
      </c>
      <c r="C687" t="s">
        <v>9</v>
      </c>
      <c r="D687">
        <v>-221309389206.70459</v>
      </c>
    </row>
    <row r="688" spans="1:4" x14ac:dyDescent="0.25">
      <c r="A688" t="s">
        <v>5</v>
      </c>
      <c r="B688" s="2">
        <v>38260</v>
      </c>
      <c r="C688" t="s">
        <v>9</v>
      </c>
      <c r="D688">
        <v>10164016650.08386</v>
      </c>
    </row>
    <row r="689" spans="1:4" x14ac:dyDescent="0.25">
      <c r="A689" t="s">
        <v>5</v>
      </c>
      <c r="B689" s="2">
        <v>38352</v>
      </c>
      <c r="C689" t="s">
        <v>9</v>
      </c>
      <c r="D689">
        <v>-90466930184.542725</v>
      </c>
    </row>
    <row r="690" spans="1:4" x14ac:dyDescent="0.25">
      <c r="A690" t="s">
        <v>5</v>
      </c>
      <c r="B690" s="2">
        <v>38442</v>
      </c>
      <c r="C690" t="s">
        <v>9</v>
      </c>
      <c r="D690">
        <v>-59375930073.177856</v>
      </c>
    </row>
    <row r="691" spans="1:4" x14ac:dyDescent="0.25">
      <c r="A691" t="s">
        <v>5</v>
      </c>
      <c r="B691" s="2">
        <v>38533</v>
      </c>
      <c r="C691" t="s">
        <v>9</v>
      </c>
      <c r="D691">
        <v>-63434651937.915527</v>
      </c>
    </row>
    <row r="692" spans="1:4" x14ac:dyDescent="0.25">
      <c r="A692" t="s">
        <v>5</v>
      </c>
      <c r="B692" s="2">
        <v>38625</v>
      </c>
      <c r="C692" t="s">
        <v>9</v>
      </c>
      <c r="D692">
        <v>39708953217.419678</v>
      </c>
    </row>
    <row r="693" spans="1:4" x14ac:dyDescent="0.25">
      <c r="A693" t="s">
        <v>5</v>
      </c>
      <c r="B693" s="2">
        <v>38717</v>
      </c>
      <c r="C693" t="s">
        <v>9</v>
      </c>
      <c r="D693">
        <v>-26068532431.759769</v>
      </c>
    </row>
    <row r="694" spans="1:4" x14ac:dyDescent="0.25">
      <c r="A694" t="s">
        <v>5</v>
      </c>
      <c r="B694" s="2">
        <v>38807</v>
      </c>
      <c r="C694" t="s">
        <v>9</v>
      </c>
      <c r="D694">
        <v>50775701332.375</v>
      </c>
    </row>
    <row r="695" spans="1:4" x14ac:dyDescent="0.25">
      <c r="A695" t="s">
        <v>5</v>
      </c>
      <c r="B695" s="2">
        <v>38898</v>
      </c>
      <c r="C695" t="s">
        <v>9</v>
      </c>
      <c r="D695">
        <v>189873000242.0155</v>
      </c>
    </row>
    <row r="696" spans="1:4" x14ac:dyDescent="0.25">
      <c r="A696" t="s">
        <v>5</v>
      </c>
      <c r="B696" s="2">
        <v>38990</v>
      </c>
      <c r="C696" t="s">
        <v>9</v>
      </c>
      <c r="D696">
        <v>173357705015.94031</v>
      </c>
    </row>
    <row r="697" spans="1:4" x14ac:dyDescent="0.25">
      <c r="A697" t="s">
        <v>5</v>
      </c>
      <c r="B697" s="2">
        <v>39082</v>
      </c>
      <c r="C697" t="s">
        <v>9</v>
      </c>
      <c r="D697">
        <v>760872255613.96704</v>
      </c>
    </row>
    <row r="698" spans="1:4" x14ac:dyDescent="0.25">
      <c r="A698" t="s">
        <v>5</v>
      </c>
      <c r="B698" s="2">
        <v>39172</v>
      </c>
      <c r="C698" t="s">
        <v>9</v>
      </c>
      <c r="D698">
        <v>745131672863.64185</v>
      </c>
    </row>
    <row r="699" spans="1:4" x14ac:dyDescent="0.25">
      <c r="A699" t="s">
        <v>5</v>
      </c>
      <c r="B699" s="2">
        <v>39263</v>
      </c>
      <c r="C699" t="s">
        <v>9</v>
      </c>
      <c r="D699">
        <v>766194974212.06396</v>
      </c>
    </row>
    <row r="700" spans="1:4" x14ac:dyDescent="0.25">
      <c r="A700" t="s">
        <v>5</v>
      </c>
      <c r="B700" s="2">
        <v>39355</v>
      </c>
      <c r="C700" t="s">
        <v>9</v>
      </c>
      <c r="D700">
        <v>1655276414282.3459</v>
      </c>
    </row>
    <row r="701" spans="1:4" x14ac:dyDescent="0.25">
      <c r="A701" t="s">
        <v>5</v>
      </c>
      <c r="B701" s="2">
        <v>39447</v>
      </c>
      <c r="C701" t="s">
        <v>9</v>
      </c>
      <c r="D701">
        <v>1361018063778.9409</v>
      </c>
    </row>
    <row r="702" spans="1:4" x14ac:dyDescent="0.25">
      <c r="A702" t="s">
        <v>5</v>
      </c>
      <c r="B702" s="2">
        <v>39538</v>
      </c>
      <c r="C702" t="s">
        <v>9</v>
      </c>
      <c r="D702">
        <v>-2116064506999.9089</v>
      </c>
    </row>
    <row r="703" spans="1:4" x14ac:dyDescent="0.25">
      <c r="A703" t="s">
        <v>5</v>
      </c>
      <c r="B703" s="2">
        <v>39629</v>
      </c>
      <c r="C703" t="s">
        <v>9</v>
      </c>
      <c r="D703">
        <v>-924125972219.19629</v>
      </c>
    </row>
    <row r="704" spans="1:4" x14ac:dyDescent="0.25">
      <c r="A704" t="s">
        <v>5</v>
      </c>
      <c r="B704" s="2">
        <v>39721</v>
      </c>
      <c r="C704" t="s">
        <v>9</v>
      </c>
      <c r="D704">
        <v>-555797049429.14014</v>
      </c>
    </row>
    <row r="705" spans="1:4" x14ac:dyDescent="0.25">
      <c r="A705" t="s">
        <v>5</v>
      </c>
      <c r="B705" s="2">
        <v>39813</v>
      </c>
      <c r="C705" t="s">
        <v>9</v>
      </c>
      <c r="D705">
        <v>-484141302206.63281</v>
      </c>
    </row>
    <row r="706" spans="1:4" x14ac:dyDescent="0.25">
      <c r="A706" t="s">
        <v>5</v>
      </c>
      <c r="B706" s="2">
        <v>39903</v>
      </c>
      <c r="C706" t="s">
        <v>9</v>
      </c>
      <c r="D706">
        <v>751836965927.95508</v>
      </c>
    </row>
    <row r="707" spans="1:4" x14ac:dyDescent="0.25">
      <c r="A707" t="s">
        <v>5</v>
      </c>
      <c r="B707" s="2">
        <v>39994</v>
      </c>
      <c r="C707" t="s">
        <v>9</v>
      </c>
      <c r="D707">
        <v>787823504371.01807</v>
      </c>
    </row>
    <row r="708" spans="1:4" x14ac:dyDescent="0.25">
      <c r="A708" t="s">
        <v>5</v>
      </c>
      <c r="B708" s="2">
        <v>40086</v>
      </c>
      <c r="C708" t="s">
        <v>9</v>
      </c>
      <c r="D708">
        <v>-88098582826.126953</v>
      </c>
    </row>
    <row r="709" spans="1:4" x14ac:dyDescent="0.25">
      <c r="A709" t="s">
        <v>5</v>
      </c>
      <c r="B709" s="2">
        <v>40178</v>
      </c>
      <c r="C709" t="s">
        <v>9</v>
      </c>
      <c r="D709">
        <v>858704826210.49023</v>
      </c>
    </row>
    <row r="710" spans="1:4" x14ac:dyDescent="0.25">
      <c r="A710" t="s">
        <v>5</v>
      </c>
      <c r="B710" s="2">
        <v>40268</v>
      </c>
      <c r="C710" t="s">
        <v>9</v>
      </c>
      <c r="D710">
        <v>-69001501431.794922</v>
      </c>
    </row>
    <row r="711" spans="1:4" x14ac:dyDescent="0.25">
      <c r="A711" t="s">
        <v>5</v>
      </c>
      <c r="B711" s="2">
        <v>40359</v>
      </c>
      <c r="C711" t="s">
        <v>9</v>
      </c>
      <c r="D711">
        <v>-920946432673.34863</v>
      </c>
    </row>
    <row r="712" spans="1:4" x14ac:dyDescent="0.25">
      <c r="A712" t="s">
        <v>5</v>
      </c>
      <c r="B712" s="2">
        <v>40451</v>
      </c>
      <c r="C712" t="s">
        <v>9</v>
      </c>
      <c r="D712">
        <v>786619590468.09961</v>
      </c>
    </row>
    <row r="713" spans="1:4" x14ac:dyDescent="0.25">
      <c r="A713" t="s">
        <v>5</v>
      </c>
      <c r="B713" s="2">
        <v>40543</v>
      </c>
      <c r="C713" t="s">
        <v>9</v>
      </c>
      <c r="D713">
        <v>387271858215.64447</v>
      </c>
    </row>
    <row r="714" spans="1:4" x14ac:dyDescent="0.25">
      <c r="A714" t="s">
        <v>5</v>
      </c>
      <c r="B714" s="2">
        <v>40633</v>
      </c>
      <c r="C714" t="s">
        <v>9</v>
      </c>
      <c r="D714">
        <v>98821891586.405273</v>
      </c>
    </row>
    <row r="715" spans="1:4" x14ac:dyDescent="0.25">
      <c r="A715" t="s">
        <v>5</v>
      </c>
      <c r="B715" s="2">
        <v>40724</v>
      </c>
      <c r="C715" t="s">
        <v>9</v>
      </c>
      <c r="D715">
        <v>-263410661511.57031</v>
      </c>
    </row>
    <row r="716" spans="1:4" x14ac:dyDescent="0.25">
      <c r="A716" t="s">
        <v>5</v>
      </c>
      <c r="B716" s="2">
        <v>40816</v>
      </c>
      <c r="C716" t="s">
        <v>9</v>
      </c>
      <c r="D716">
        <v>-614185950085.56006</v>
      </c>
    </row>
    <row r="717" spans="1:4" x14ac:dyDescent="0.25">
      <c r="A717" t="s">
        <v>5</v>
      </c>
      <c r="B717" s="2">
        <v>40908</v>
      </c>
      <c r="C717" t="s">
        <v>9</v>
      </c>
      <c r="D717">
        <v>-310325517325.85992</v>
      </c>
    </row>
    <row r="718" spans="1:4" x14ac:dyDescent="0.25">
      <c r="A718" t="s">
        <v>5</v>
      </c>
      <c r="B718" s="2">
        <v>40999</v>
      </c>
      <c r="C718" t="s">
        <v>9</v>
      </c>
      <c r="D718">
        <v>109847294003.8091</v>
      </c>
    </row>
    <row r="719" spans="1:4" x14ac:dyDescent="0.25">
      <c r="A719" t="s">
        <v>5</v>
      </c>
      <c r="B719" s="2">
        <v>41090</v>
      </c>
      <c r="C719" t="s">
        <v>9</v>
      </c>
      <c r="D719">
        <v>39912618464.874023</v>
      </c>
    </row>
    <row r="720" spans="1:4" x14ac:dyDescent="0.25">
      <c r="A720" t="s">
        <v>5</v>
      </c>
      <c r="B720" s="2">
        <v>41182</v>
      </c>
      <c r="C720" t="s">
        <v>9</v>
      </c>
      <c r="D720">
        <v>-215606659246.16599</v>
      </c>
    </row>
    <row r="721" spans="1:4" x14ac:dyDescent="0.25">
      <c r="A721" t="s">
        <v>5</v>
      </c>
      <c r="B721" s="2">
        <v>41274</v>
      </c>
      <c r="C721" t="s">
        <v>9</v>
      </c>
      <c r="D721">
        <v>253702356145.41501</v>
      </c>
    </row>
    <row r="722" spans="1:4" x14ac:dyDescent="0.25">
      <c r="A722" t="s">
        <v>5</v>
      </c>
      <c r="B722" s="2">
        <v>41364</v>
      </c>
      <c r="C722" t="s">
        <v>9</v>
      </c>
      <c r="D722">
        <v>-20765540850.354</v>
      </c>
    </row>
    <row r="723" spans="1:4" x14ac:dyDescent="0.25">
      <c r="A723" t="s">
        <v>5</v>
      </c>
      <c r="B723" s="2">
        <v>41455</v>
      </c>
      <c r="C723" t="s">
        <v>9</v>
      </c>
      <c r="D723">
        <v>-331249508257.396</v>
      </c>
    </row>
    <row r="724" spans="1:4" x14ac:dyDescent="0.25">
      <c r="A724" t="s">
        <v>5</v>
      </c>
      <c r="B724" s="2">
        <v>41547</v>
      </c>
      <c r="C724" t="s">
        <v>9</v>
      </c>
      <c r="D724">
        <v>455117456376.33301</v>
      </c>
    </row>
    <row r="725" spans="1:4" x14ac:dyDescent="0.25">
      <c r="A725" t="s">
        <v>5</v>
      </c>
      <c r="B725" s="2">
        <v>41639</v>
      </c>
      <c r="C725" t="s">
        <v>9</v>
      </c>
      <c r="D725">
        <v>-69290610317.100098</v>
      </c>
    </row>
    <row r="726" spans="1:4" x14ac:dyDescent="0.25">
      <c r="A726" t="s">
        <v>5</v>
      </c>
      <c r="B726" s="2">
        <v>41729</v>
      </c>
      <c r="C726" t="s">
        <v>9</v>
      </c>
      <c r="D726">
        <v>-91897094766.565918</v>
      </c>
    </row>
    <row r="727" spans="1:4" x14ac:dyDescent="0.25">
      <c r="A727" t="s">
        <v>5</v>
      </c>
      <c r="B727" s="2">
        <v>41820</v>
      </c>
      <c r="C727" t="s">
        <v>9</v>
      </c>
      <c r="D727">
        <v>143539428150.66159</v>
      </c>
    </row>
    <row r="728" spans="1:4" x14ac:dyDescent="0.25">
      <c r="A728" t="s">
        <v>5</v>
      </c>
      <c r="B728" s="2">
        <v>41912</v>
      </c>
      <c r="C728" t="s">
        <v>9</v>
      </c>
      <c r="D728">
        <v>794707558800.92969</v>
      </c>
    </row>
    <row r="729" spans="1:4" x14ac:dyDescent="0.25">
      <c r="A729" t="s">
        <v>5</v>
      </c>
      <c r="B729" s="2">
        <v>42004</v>
      </c>
      <c r="C729" t="s">
        <v>9</v>
      </c>
      <c r="D729">
        <v>1267180776463.8579</v>
      </c>
    </row>
    <row r="730" spans="1:4" x14ac:dyDescent="0.25">
      <c r="A730" t="s">
        <v>5</v>
      </c>
      <c r="B730" s="2">
        <v>42094</v>
      </c>
      <c r="C730" t="s">
        <v>9</v>
      </c>
      <c r="D730">
        <v>1614373809015.3601</v>
      </c>
    </row>
    <row r="731" spans="1:4" x14ac:dyDescent="0.25">
      <c r="A731" t="s">
        <v>5</v>
      </c>
      <c r="B731" s="2">
        <v>42185</v>
      </c>
      <c r="C731" t="s">
        <v>9</v>
      </c>
      <c r="D731">
        <v>1760013157255.5481</v>
      </c>
    </row>
    <row r="732" spans="1:4" x14ac:dyDescent="0.25">
      <c r="A732" t="s">
        <v>5</v>
      </c>
      <c r="B732" s="2">
        <v>42277</v>
      </c>
      <c r="C732" t="s">
        <v>9</v>
      </c>
      <c r="D732">
        <v>-2708612827588.6479</v>
      </c>
    </row>
    <row r="733" spans="1:4" x14ac:dyDescent="0.25">
      <c r="A733" t="s">
        <v>5</v>
      </c>
      <c r="B733" s="2">
        <v>42369</v>
      </c>
      <c r="C733" t="s">
        <v>9</v>
      </c>
      <c r="D733">
        <v>1789820684877.325</v>
      </c>
    </row>
    <row r="734" spans="1:4" x14ac:dyDescent="0.25">
      <c r="A734" t="s">
        <v>5</v>
      </c>
      <c r="B734" s="2">
        <v>42460</v>
      </c>
      <c r="C734" t="s">
        <v>9</v>
      </c>
      <c r="D734">
        <v>-1358915741040.3899</v>
      </c>
    </row>
    <row r="735" spans="1:4" x14ac:dyDescent="0.25">
      <c r="A735" t="s">
        <v>5</v>
      </c>
      <c r="B735" s="2">
        <v>42551</v>
      </c>
      <c r="C735" t="s">
        <v>9</v>
      </c>
      <c r="D735">
        <v>161843425288.66891</v>
      </c>
    </row>
    <row r="736" spans="1:4" x14ac:dyDescent="0.25">
      <c r="A736" t="s">
        <v>5</v>
      </c>
      <c r="B736" s="2">
        <v>42643</v>
      </c>
      <c r="C736" t="s">
        <v>9</v>
      </c>
      <c r="D736">
        <v>331263813166</v>
      </c>
    </row>
    <row r="737" spans="1:4" x14ac:dyDescent="0.25">
      <c r="A737" t="s">
        <v>5</v>
      </c>
      <c r="B737" s="2">
        <v>42735</v>
      </c>
      <c r="C737" t="s">
        <v>9</v>
      </c>
      <c r="D737">
        <v>315672247818.76563</v>
      </c>
    </row>
    <row r="738" spans="1:4" x14ac:dyDescent="0.25">
      <c r="A738" t="s">
        <v>5</v>
      </c>
      <c r="B738" s="2">
        <v>42825</v>
      </c>
      <c r="C738" t="s">
        <v>9</v>
      </c>
      <c r="D738">
        <v>415561245101.49219</v>
      </c>
    </row>
    <row r="739" spans="1:4" x14ac:dyDescent="0.25">
      <c r="A739" t="s">
        <v>5</v>
      </c>
      <c r="B739" s="2">
        <v>42916</v>
      </c>
      <c r="C739" t="s">
        <v>9</v>
      </c>
      <c r="D739">
        <v>-60293840764.364258</v>
      </c>
    </row>
    <row r="740" spans="1:4" x14ac:dyDescent="0.25">
      <c r="A740" t="s">
        <v>5</v>
      </c>
      <c r="B740" s="2">
        <v>43008</v>
      </c>
      <c r="C740" t="s">
        <v>9</v>
      </c>
      <c r="D740">
        <v>515674295066.14648</v>
      </c>
    </row>
    <row r="741" spans="1:4" x14ac:dyDescent="0.25">
      <c r="A741" t="s">
        <v>5</v>
      </c>
      <c r="B741" s="2">
        <v>43100</v>
      </c>
      <c r="C741" t="s">
        <v>9</v>
      </c>
      <c r="D741">
        <v>-98990565457.986328</v>
      </c>
    </row>
    <row r="742" spans="1:4" x14ac:dyDescent="0.25">
      <c r="A742" t="s">
        <v>5</v>
      </c>
      <c r="B742" s="2">
        <v>43190</v>
      </c>
      <c r="C742" t="s">
        <v>9</v>
      </c>
      <c r="D742">
        <v>-227888333639.93851</v>
      </c>
    </row>
    <row r="743" spans="1:4" x14ac:dyDescent="0.25">
      <c r="A743" t="s">
        <v>5</v>
      </c>
      <c r="B743" s="2">
        <v>43281</v>
      </c>
      <c r="C743" t="s">
        <v>9</v>
      </c>
      <c r="D743">
        <v>-789169203316.62598</v>
      </c>
    </row>
    <row r="744" spans="1:4" x14ac:dyDescent="0.25">
      <c r="A744" t="s">
        <v>5</v>
      </c>
      <c r="B744" s="2">
        <v>43373</v>
      </c>
      <c r="C744" t="s">
        <v>9</v>
      </c>
      <c r="D744">
        <v>-334824154733.11719</v>
      </c>
    </row>
    <row r="745" spans="1:4" x14ac:dyDescent="0.25">
      <c r="A745" t="s">
        <v>5</v>
      </c>
      <c r="B745" s="2">
        <v>43465</v>
      </c>
      <c r="C745" t="s">
        <v>9</v>
      </c>
      <c r="D745">
        <v>-824938352149.51367</v>
      </c>
    </row>
    <row r="746" spans="1:4" x14ac:dyDescent="0.25">
      <c r="A746" t="s">
        <v>5</v>
      </c>
      <c r="B746" s="2">
        <v>43555</v>
      </c>
      <c r="C746" t="s">
        <v>9</v>
      </c>
      <c r="D746">
        <v>1845978875002.1421</v>
      </c>
    </row>
    <row r="747" spans="1:4" x14ac:dyDescent="0.25">
      <c r="A747" t="s">
        <v>5</v>
      </c>
      <c r="B747" s="2">
        <v>43646</v>
      </c>
      <c r="C747" t="s">
        <v>9</v>
      </c>
      <c r="D747">
        <v>-408678063064.08502</v>
      </c>
    </row>
    <row r="748" spans="1:4" x14ac:dyDescent="0.25">
      <c r="A748" t="s">
        <v>5</v>
      </c>
      <c r="B748" s="2">
        <v>43738</v>
      </c>
      <c r="C748" t="s">
        <v>9</v>
      </c>
      <c r="D748">
        <v>55035151579.200203</v>
      </c>
    </row>
    <row r="749" spans="1:4" x14ac:dyDescent="0.25">
      <c r="A749" t="s">
        <v>5</v>
      </c>
      <c r="B749" s="2">
        <v>43830</v>
      </c>
      <c r="C749" t="s">
        <v>9</v>
      </c>
      <c r="D749">
        <v>526304511374.96973</v>
      </c>
    </row>
    <row r="750" spans="1:4" x14ac:dyDescent="0.25">
      <c r="A750" t="s">
        <v>5</v>
      </c>
      <c r="B750" s="2">
        <v>43921</v>
      </c>
      <c r="C750" t="s">
        <v>9</v>
      </c>
      <c r="D750">
        <v>-569315683878.27246</v>
      </c>
    </row>
    <row r="751" spans="1:4" x14ac:dyDescent="0.25">
      <c r="A751" t="s">
        <v>5</v>
      </c>
      <c r="B751" s="2">
        <v>44012</v>
      </c>
      <c r="C751" t="s">
        <v>9</v>
      </c>
      <c r="D751">
        <v>1407575707761.2141</v>
      </c>
    </row>
    <row r="752" spans="1:4" x14ac:dyDescent="0.25">
      <c r="A752" t="s">
        <v>5</v>
      </c>
      <c r="B752" s="2">
        <v>44104</v>
      </c>
      <c r="C752" t="s">
        <v>9</v>
      </c>
      <c r="D752">
        <v>1022925398567.809</v>
      </c>
    </row>
    <row r="753" spans="1:4" x14ac:dyDescent="0.25">
      <c r="A753" t="s">
        <v>5</v>
      </c>
      <c r="B753" s="2">
        <v>44196</v>
      </c>
      <c r="C753" t="s">
        <v>9</v>
      </c>
      <c r="D753">
        <v>1078314231836.3199</v>
      </c>
    </row>
    <row r="754" spans="1:4" x14ac:dyDescent="0.25">
      <c r="A754" t="s">
        <v>5</v>
      </c>
      <c r="B754" s="2">
        <v>44286</v>
      </c>
      <c r="C754" t="s">
        <v>9</v>
      </c>
      <c r="D754">
        <v>-356556711270.68951</v>
      </c>
    </row>
    <row r="755" spans="1:4" x14ac:dyDescent="0.25">
      <c r="A755" t="s">
        <v>5</v>
      </c>
      <c r="B755" s="2">
        <v>44377</v>
      </c>
      <c r="C755" t="s">
        <v>9</v>
      </c>
      <c r="D755">
        <v>1216101194882.719</v>
      </c>
    </row>
    <row r="756" spans="1:4" x14ac:dyDescent="0.25">
      <c r="A756" t="s">
        <v>5</v>
      </c>
      <c r="B756" s="2">
        <v>44469</v>
      </c>
      <c r="C756" t="s">
        <v>9</v>
      </c>
      <c r="D756">
        <v>37475153618.980469</v>
      </c>
    </row>
    <row r="757" spans="1:4" x14ac:dyDescent="0.25">
      <c r="A757" t="s">
        <v>5</v>
      </c>
      <c r="B757" s="2">
        <v>44561</v>
      </c>
      <c r="C757" t="s">
        <v>9</v>
      </c>
      <c r="D757">
        <v>587327845693.65039</v>
      </c>
    </row>
    <row r="758" spans="1:4" x14ac:dyDescent="0.25">
      <c r="A758" t="s">
        <v>5</v>
      </c>
      <c r="B758" s="2">
        <v>44651</v>
      </c>
      <c r="C758" t="s">
        <v>9</v>
      </c>
      <c r="D758">
        <v>-1667335961067.8611</v>
      </c>
    </row>
    <row r="759" spans="1:4" x14ac:dyDescent="0.25">
      <c r="A759" t="s">
        <v>5</v>
      </c>
      <c r="B759" s="2">
        <v>44742</v>
      </c>
      <c r="C759" t="s">
        <v>9</v>
      </c>
      <c r="D759">
        <v>553038067266.49023</v>
      </c>
    </row>
    <row r="760" spans="1:4" x14ac:dyDescent="0.25">
      <c r="A760" t="s">
        <v>5</v>
      </c>
      <c r="B760" s="2">
        <v>44834</v>
      </c>
      <c r="C760" t="s">
        <v>9</v>
      </c>
      <c r="D760">
        <v>-1286556623337.6599</v>
      </c>
    </row>
    <row r="761" spans="1:4" x14ac:dyDescent="0.25">
      <c r="A761" t="s">
        <v>5</v>
      </c>
      <c r="B761" s="2">
        <v>44926</v>
      </c>
      <c r="C761" t="s">
        <v>9</v>
      </c>
      <c r="D761">
        <v>382035476682.08978</v>
      </c>
    </row>
    <row r="762" spans="1:4" x14ac:dyDescent="0.25">
      <c r="A762" t="s">
        <v>5</v>
      </c>
      <c r="B762" s="2">
        <v>45016</v>
      </c>
      <c r="C762" t="s">
        <v>9</v>
      </c>
      <c r="D762">
        <v>820929774784.4707</v>
      </c>
    </row>
    <row r="763" spans="1:4" x14ac:dyDescent="0.25">
      <c r="A763" t="s">
        <v>5</v>
      </c>
      <c r="B763" s="2">
        <v>45107</v>
      </c>
      <c r="C763" t="s">
        <v>9</v>
      </c>
      <c r="D763">
        <v>-146950422257.95901</v>
      </c>
    </row>
    <row r="764" spans="1:4" x14ac:dyDescent="0.25">
      <c r="A764" t="s">
        <v>5</v>
      </c>
      <c r="B764" s="2">
        <v>45199</v>
      </c>
      <c r="C764" t="s">
        <v>9</v>
      </c>
      <c r="D764">
        <v>-466305770391.48053</v>
      </c>
    </row>
    <row r="765" spans="1:4" x14ac:dyDescent="0.25">
      <c r="A765" t="s">
        <v>5</v>
      </c>
      <c r="B765" s="2">
        <v>45291</v>
      </c>
      <c r="C765" t="s">
        <v>9</v>
      </c>
      <c r="D765">
        <v>-380022221622.34961</v>
      </c>
    </row>
    <row r="766" spans="1:4" x14ac:dyDescent="0.25">
      <c r="A766" t="s">
        <v>5</v>
      </c>
      <c r="B766" s="2">
        <v>45382</v>
      </c>
      <c r="C766" t="s">
        <v>9</v>
      </c>
      <c r="D766">
        <v>-113833957966.2617</v>
      </c>
    </row>
    <row r="767" spans="1:4" x14ac:dyDescent="0.25">
      <c r="A767" t="s">
        <v>5</v>
      </c>
      <c r="B767" s="2">
        <v>45473</v>
      </c>
      <c r="C767" t="s">
        <v>9</v>
      </c>
      <c r="D767">
        <v>-454797362529.43951</v>
      </c>
    </row>
    <row r="768" spans="1:4" x14ac:dyDescent="0.25">
      <c r="A768" t="s">
        <v>5</v>
      </c>
      <c r="B768" s="2">
        <v>45565</v>
      </c>
      <c r="C768" t="s">
        <v>9</v>
      </c>
      <c r="D768">
        <v>1465918895759.73</v>
      </c>
    </row>
    <row r="769" spans="1:4" x14ac:dyDescent="0.25">
      <c r="A769" t="s">
        <v>5</v>
      </c>
      <c r="B769" s="2">
        <v>45657</v>
      </c>
      <c r="C769" t="s">
        <v>9</v>
      </c>
      <c r="D769">
        <v>219713772164.25</v>
      </c>
    </row>
    <row r="770" spans="1:4" x14ac:dyDescent="0.25">
      <c r="A770" t="s">
        <v>4</v>
      </c>
      <c r="B770" s="2">
        <v>36981</v>
      </c>
      <c r="C770" t="s">
        <v>10</v>
      </c>
    </row>
    <row r="771" spans="1:4" x14ac:dyDescent="0.25">
      <c r="A771" t="s">
        <v>4</v>
      </c>
      <c r="B771" s="2">
        <v>37072</v>
      </c>
      <c r="C771" t="s">
        <v>10</v>
      </c>
      <c r="D771">
        <v>-170107963113.80621</v>
      </c>
    </row>
    <row r="772" spans="1:4" x14ac:dyDescent="0.25">
      <c r="A772" t="s">
        <v>4</v>
      </c>
      <c r="B772" s="2">
        <v>37164</v>
      </c>
      <c r="C772" t="s">
        <v>10</v>
      </c>
      <c r="D772">
        <v>-26501283615.430561</v>
      </c>
    </row>
    <row r="773" spans="1:4" x14ac:dyDescent="0.25">
      <c r="A773" t="s">
        <v>4</v>
      </c>
      <c r="B773" s="2">
        <v>37256</v>
      </c>
      <c r="C773" t="s">
        <v>10</v>
      </c>
      <c r="D773">
        <v>23394088284.093929</v>
      </c>
    </row>
    <row r="774" spans="1:4" x14ac:dyDescent="0.25">
      <c r="A774" t="s">
        <v>4</v>
      </c>
      <c r="B774" s="2">
        <v>37346</v>
      </c>
      <c r="C774" t="s">
        <v>10</v>
      </c>
      <c r="D774">
        <v>19653720929.058849</v>
      </c>
    </row>
    <row r="775" spans="1:4" x14ac:dyDescent="0.25">
      <c r="A775" t="s">
        <v>4</v>
      </c>
      <c r="B775" s="2">
        <v>37437</v>
      </c>
      <c r="C775" t="s">
        <v>10</v>
      </c>
      <c r="D775">
        <v>-10343256979.67935</v>
      </c>
    </row>
    <row r="776" spans="1:4" x14ac:dyDescent="0.25">
      <c r="A776" t="s">
        <v>4</v>
      </c>
      <c r="B776" s="2">
        <v>37529</v>
      </c>
      <c r="C776" t="s">
        <v>10</v>
      </c>
      <c r="D776">
        <v>-7533816223.3189392</v>
      </c>
    </row>
    <row r="777" spans="1:4" x14ac:dyDescent="0.25">
      <c r="A777" t="s">
        <v>4</v>
      </c>
      <c r="B777" s="2">
        <v>37621</v>
      </c>
      <c r="C777" t="s">
        <v>10</v>
      </c>
      <c r="D777">
        <v>11200766927.1243</v>
      </c>
    </row>
    <row r="778" spans="1:4" x14ac:dyDescent="0.25">
      <c r="A778" t="s">
        <v>4</v>
      </c>
      <c r="B778" s="2">
        <v>37711</v>
      </c>
      <c r="C778" t="s">
        <v>10</v>
      </c>
      <c r="D778">
        <v>-6814447321.305954</v>
      </c>
    </row>
    <row r="779" spans="1:4" x14ac:dyDescent="0.25">
      <c r="A779" t="s">
        <v>4</v>
      </c>
      <c r="B779" s="2">
        <v>37802</v>
      </c>
      <c r="C779" t="s">
        <v>10</v>
      </c>
      <c r="D779">
        <v>-793297752.56190491</v>
      </c>
    </row>
    <row r="780" spans="1:4" x14ac:dyDescent="0.25">
      <c r="A780" t="s">
        <v>4</v>
      </c>
      <c r="B780" s="2">
        <v>37894</v>
      </c>
      <c r="C780" t="s">
        <v>10</v>
      </c>
      <c r="D780">
        <v>54782100578.453339</v>
      </c>
    </row>
    <row r="781" spans="1:4" x14ac:dyDescent="0.25">
      <c r="A781" t="s">
        <v>4</v>
      </c>
      <c r="B781" s="2">
        <v>37986</v>
      </c>
      <c r="C781" t="s">
        <v>10</v>
      </c>
      <c r="D781">
        <v>32610182634.511108</v>
      </c>
    </row>
    <row r="782" spans="1:4" x14ac:dyDescent="0.25">
      <c r="A782" t="s">
        <v>4</v>
      </c>
      <c r="B782" s="2">
        <v>38077</v>
      </c>
      <c r="C782" t="s">
        <v>10</v>
      </c>
      <c r="D782">
        <v>16201458157.088989</v>
      </c>
    </row>
    <row r="783" spans="1:4" x14ac:dyDescent="0.25">
      <c r="A783" t="s">
        <v>4</v>
      </c>
      <c r="B783" s="2">
        <v>38168</v>
      </c>
      <c r="C783" t="s">
        <v>10</v>
      </c>
      <c r="D783">
        <v>-39687630922.116386</v>
      </c>
    </row>
    <row r="784" spans="1:4" x14ac:dyDescent="0.25">
      <c r="A784" t="s">
        <v>4</v>
      </c>
      <c r="B784" s="2">
        <v>38260</v>
      </c>
      <c r="C784" t="s">
        <v>10</v>
      </c>
      <c r="D784">
        <v>-13181820689.40579</v>
      </c>
    </row>
    <row r="785" spans="1:4" x14ac:dyDescent="0.25">
      <c r="A785" t="s">
        <v>4</v>
      </c>
      <c r="B785" s="2">
        <v>38352</v>
      </c>
      <c r="C785" t="s">
        <v>10</v>
      </c>
      <c r="D785">
        <v>1777722331.1682129</v>
      </c>
    </row>
    <row r="786" spans="1:4" x14ac:dyDescent="0.25">
      <c r="A786" t="s">
        <v>4</v>
      </c>
      <c r="B786" s="2">
        <v>38442</v>
      </c>
      <c r="C786" t="s">
        <v>10</v>
      </c>
      <c r="D786">
        <v>25426340357.832279</v>
      </c>
    </row>
    <row r="787" spans="1:4" x14ac:dyDescent="0.25">
      <c r="A787" t="s">
        <v>4</v>
      </c>
      <c r="B787" s="2">
        <v>38533</v>
      </c>
      <c r="C787" t="s">
        <v>10</v>
      </c>
      <c r="D787">
        <v>-17069134941.444269</v>
      </c>
    </row>
    <row r="788" spans="1:4" x14ac:dyDescent="0.25">
      <c r="A788" t="s">
        <v>4</v>
      </c>
      <c r="B788" s="2">
        <v>38625</v>
      </c>
      <c r="C788" t="s">
        <v>10</v>
      </c>
      <c r="D788">
        <v>70795826066.883087</v>
      </c>
    </row>
    <row r="789" spans="1:4" x14ac:dyDescent="0.25">
      <c r="A789" t="s">
        <v>4</v>
      </c>
      <c r="B789" s="2">
        <v>38717</v>
      </c>
      <c r="C789" t="s">
        <v>10</v>
      </c>
      <c r="D789">
        <v>-25904138660.572201</v>
      </c>
    </row>
    <row r="790" spans="1:4" x14ac:dyDescent="0.25">
      <c r="A790" t="s">
        <v>4</v>
      </c>
      <c r="B790" s="2">
        <v>38807</v>
      </c>
      <c r="C790" t="s">
        <v>10</v>
      </c>
      <c r="D790">
        <v>66524283797.281311</v>
      </c>
    </row>
    <row r="791" spans="1:4" x14ac:dyDescent="0.25">
      <c r="A791" t="s">
        <v>4</v>
      </c>
      <c r="B791" s="2">
        <v>38898</v>
      </c>
      <c r="C791" t="s">
        <v>10</v>
      </c>
      <c r="D791">
        <v>2527395736.17099</v>
      </c>
    </row>
    <row r="792" spans="1:4" x14ac:dyDescent="0.25">
      <c r="A792" t="s">
        <v>4</v>
      </c>
      <c r="B792" s="2">
        <v>38990</v>
      </c>
      <c r="C792" t="s">
        <v>10</v>
      </c>
      <c r="D792">
        <v>-72440971438.932281</v>
      </c>
    </row>
    <row r="793" spans="1:4" x14ac:dyDescent="0.25">
      <c r="A793" t="s">
        <v>4</v>
      </c>
      <c r="B793" s="2">
        <v>39082</v>
      </c>
      <c r="C793" t="s">
        <v>10</v>
      </c>
      <c r="D793">
        <v>51203934000.494598</v>
      </c>
    </row>
    <row r="794" spans="1:4" x14ac:dyDescent="0.25">
      <c r="A794" t="s">
        <v>4</v>
      </c>
      <c r="B794" s="2">
        <v>39172</v>
      </c>
      <c r="C794" t="s">
        <v>10</v>
      </c>
      <c r="D794">
        <v>6510010355.8423767</v>
      </c>
    </row>
    <row r="795" spans="1:4" x14ac:dyDescent="0.25">
      <c r="A795" t="s">
        <v>4</v>
      </c>
      <c r="B795" s="2">
        <v>39263</v>
      </c>
      <c r="C795" t="s">
        <v>10</v>
      </c>
      <c r="D795">
        <v>17240547617.324009</v>
      </c>
    </row>
    <row r="796" spans="1:4" x14ac:dyDescent="0.25">
      <c r="A796" t="s">
        <v>4</v>
      </c>
      <c r="B796" s="2">
        <v>39355</v>
      </c>
      <c r="C796" t="s">
        <v>10</v>
      </c>
      <c r="D796">
        <v>77451137347.265015</v>
      </c>
    </row>
    <row r="797" spans="1:4" x14ac:dyDescent="0.25">
      <c r="A797" t="s">
        <v>4</v>
      </c>
      <c r="B797" s="2">
        <v>39447</v>
      </c>
      <c r="C797" t="s">
        <v>10</v>
      </c>
      <c r="D797">
        <v>194482816036.81299</v>
      </c>
    </row>
    <row r="798" spans="1:4" x14ac:dyDescent="0.25">
      <c r="A798" t="s">
        <v>4</v>
      </c>
      <c r="B798" s="2">
        <v>39538</v>
      </c>
      <c r="C798" t="s">
        <v>10</v>
      </c>
      <c r="D798">
        <v>-116925183636.6707</v>
      </c>
    </row>
    <row r="799" spans="1:4" x14ac:dyDescent="0.25">
      <c r="A799" t="s">
        <v>4</v>
      </c>
      <c r="B799" s="2">
        <v>39629</v>
      </c>
      <c r="C799" t="s">
        <v>10</v>
      </c>
      <c r="D799">
        <v>-80031986326.602478</v>
      </c>
    </row>
    <row r="800" spans="1:4" x14ac:dyDescent="0.25">
      <c r="A800" t="s">
        <v>4</v>
      </c>
      <c r="B800" s="2">
        <v>39721</v>
      </c>
      <c r="C800" t="s">
        <v>10</v>
      </c>
      <c r="D800">
        <v>-24695366899.653381</v>
      </c>
    </row>
    <row r="801" spans="1:4" x14ac:dyDescent="0.25">
      <c r="A801" t="s">
        <v>4</v>
      </c>
      <c r="B801" s="2">
        <v>39813</v>
      </c>
      <c r="C801" t="s">
        <v>10</v>
      </c>
      <c r="D801">
        <v>-88955066046.48941</v>
      </c>
    </row>
    <row r="802" spans="1:4" x14ac:dyDescent="0.25">
      <c r="A802" t="s">
        <v>4</v>
      </c>
      <c r="B802" s="2">
        <v>39903</v>
      </c>
      <c r="C802" t="s">
        <v>10</v>
      </c>
      <c r="D802">
        <v>-24314910281.579498</v>
      </c>
    </row>
    <row r="803" spans="1:4" x14ac:dyDescent="0.25">
      <c r="A803" t="s">
        <v>4</v>
      </c>
      <c r="B803" s="2">
        <v>39994</v>
      </c>
      <c r="C803" t="s">
        <v>10</v>
      </c>
      <c r="D803">
        <v>202764083087.3125</v>
      </c>
    </row>
    <row r="804" spans="1:4" x14ac:dyDescent="0.25">
      <c r="A804" t="s">
        <v>4</v>
      </c>
      <c r="B804" s="2">
        <v>40086</v>
      </c>
      <c r="C804" t="s">
        <v>10</v>
      </c>
      <c r="D804">
        <v>-17623721816.309391</v>
      </c>
    </row>
    <row r="805" spans="1:4" x14ac:dyDescent="0.25">
      <c r="A805" t="s">
        <v>4</v>
      </c>
      <c r="B805" s="2">
        <v>40178</v>
      </c>
      <c r="C805" t="s">
        <v>10</v>
      </c>
      <c r="D805">
        <v>-72660473044.772644</v>
      </c>
    </row>
    <row r="806" spans="1:4" x14ac:dyDescent="0.25">
      <c r="A806" t="s">
        <v>4</v>
      </c>
      <c r="B806" s="2">
        <v>40268</v>
      </c>
      <c r="C806" t="s">
        <v>10</v>
      </c>
      <c r="D806">
        <v>-36772543911.094597</v>
      </c>
    </row>
    <row r="807" spans="1:4" x14ac:dyDescent="0.25">
      <c r="A807" t="s">
        <v>4</v>
      </c>
      <c r="B807" s="2">
        <v>40359</v>
      </c>
      <c r="C807" t="s">
        <v>10</v>
      </c>
      <c r="D807">
        <v>-14155609874.33127</v>
      </c>
    </row>
    <row r="808" spans="1:4" x14ac:dyDescent="0.25">
      <c r="A808" t="s">
        <v>4</v>
      </c>
      <c r="B808" s="2">
        <v>40451</v>
      </c>
      <c r="C808" t="s">
        <v>10</v>
      </c>
      <c r="D808">
        <v>16833705892.9006</v>
      </c>
    </row>
    <row r="809" spans="1:4" x14ac:dyDescent="0.25">
      <c r="A809" t="s">
        <v>4</v>
      </c>
      <c r="B809" s="2">
        <v>40543</v>
      </c>
      <c r="C809" t="s">
        <v>10</v>
      </c>
      <c r="D809">
        <v>13714195639.984381</v>
      </c>
    </row>
    <row r="810" spans="1:4" x14ac:dyDescent="0.25">
      <c r="A810" t="s">
        <v>4</v>
      </c>
      <c r="B810" s="2">
        <v>40633</v>
      </c>
      <c r="C810" t="s">
        <v>10</v>
      </c>
      <c r="D810">
        <v>-77111038834.659302</v>
      </c>
    </row>
    <row r="811" spans="1:4" x14ac:dyDescent="0.25">
      <c r="A811" t="s">
        <v>4</v>
      </c>
      <c r="B811" s="2">
        <v>40724</v>
      </c>
      <c r="C811" t="s">
        <v>10</v>
      </c>
      <c r="D811">
        <v>-29270440895.50098</v>
      </c>
    </row>
    <row r="812" spans="1:4" x14ac:dyDescent="0.25">
      <c r="A812" t="s">
        <v>4</v>
      </c>
      <c r="B812" s="2">
        <v>40816</v>
      </c>
      <c r="C812" t="s">
        <v>10</v>
      </c>
      <c r="D812">
        <v>-8709720030.5519104</v>
      </c>
    </row>
    <row r="813" spans="1:4" x14ac:dyDescent="0.25">
      <c r="A813" t="s">
        <v>4</v>
      </c>
      <c r="B813" s="2">
        <v>40908</v>
      </c>
      <c r="C813" t="s">
        <v>10</v>
      </c>
      <c r="D813">
        <v>-33885609090.592991</v>
      </c>
    </row>
    <row r="814" spans="1:4" x14ac:dyDescent="0.25">
      <c r="A814" t="s">
        <v>4</v>
      </c>
      <c r="B814" s="2">
        <v>40999</v>
      </c>
      <c r="C814" t="s">
        <v>10</v>
      </c>
      <c r="D814">
        <v>61677874372.303772</v>
      </c>
    </row>
    <row r="815" spans="1:4" x14ac:dyDescent="0.25">
      <c r="A815" t="s">
        <v>4</v>
      </c>
      <c r="B815" s="2">
        <v>41090</v>
      </c>
      <c r="C815" t="s">
        <v>10</v>
      </c>
      <c r="D815">
        <v>-61452759161.227173</v>
      </c>
    </row>
    <row r="816" spans="1:4" x14ac:dyDescent="0.25">
      <c r="A816" t="s">
        <v>4</v>
      </c>
      <c r="B816" s="2">
        <v>41182</v>
      </c>
      <c r="C816" t="s">
        <v>10</v>
      </c>
      <c r="D816">
        <v>2825109458.171082</v>
      </c>
    </row>
    <row r="817" spans="1:4" x14ac:dyDescent="0.25">
      <c r="A817" t="s">
        <v>4</v>
      </c>
      <c r="B817" s="2">
        <v>41274</v>
      </c>
      <c r="C817" t="s">
        <v>10</v>
      </c>
      <c r="D817">
        <v>8537099829.1783142</v>
      </c>
    </row>
    <row r="818" spans="1:4" x14ac:dyDescent="0.25">
      <c r="A818" t="s">
        <v>4</v>
      </c>
      <c r="B818" s="2">
        <v>41364</v>
      </c>
      <c r="C818" t="s">
        <v>10</v>
      </c>
      <c r="D818">
        <v>1173919796.900085</v>
      </c>
    </row>
    <row r="819" spans="1:4" x14ac:dyDescent="0.25">
      <c r="A819" t="s">
        <v>4</v>
      </c>
      <c r="B819" s="2">
        <v>41455</v>
      </c>
      <c r="C819" t="s">
        <v>10</v>
      </c>
      <c r="D819">
        <v>-19584800877.718781</v>
      </c>
    </row>
    <row r="820" spans="1:4" x14ac:dyDescent="0.25">
      <c r="A820" t="s">
        <v>4</v>
      </c>
      <c r="B820" s="2">
        <v>41547</v>
      </c>
      <c r="C820" t="s">
        <v>10</v>
      </c>
      <c r="D820">
        <v>7966323149.3201904</v>
      </c>
    </row>
    <row r="821" spans="1:4" x14ac:dyDescent="0.25">
      <c r="A821" t="s">
        <v>4</v>
      </c>
      <c r="B821" s="2">
        <v>41639</v>
      </c>
      <c r="C821" t="s">
        <v>10</v>
      </c>
      <c r="D821">
        <v>-10758363868.864611</v>
      </c>
    </row>
    <row r="822" spans="1:4" x14ac:dyDescent="0.25">
      <c r="A822" t="s">
        <v>4</v>
      </c>
      <c r="B822" s="2">
        <v>41729</v>
      </c>
      <c r="C822" t="s">
        <v>10</v>
      </c>
      <c r="D822">
        <v>11221180949.76399</v>
      </c>
    </row>
    <row r="823" spans="1:4" x14ac:dyDescent="0.25">
      <c r="A823" t="s">
        <v>4</v>
      </c>
      <c r="B823" s="2">
        <v>41820</v>
      </c>
      <c r="C823" t="s">
        <v>10</v>
      </c>
      <c r="D823">
        <v>77164798108.784607</v>
      </c>
    </row>
    <row r="824" spans="1:4" x14ac:dyDescent="0.25">
      <c r="A824" t="s">
        <v>4</v>
      </c>
      <c r="B824" s="2">
        <v>41912</v>
      </c>
      <c r="C824" t="s">
        <v>10</v>
      </c>
      <c r="D824">
        <v>-19351701373.8699</v>
      </c>
    </row>
    <row r="825" spans="1:4" x14ac:dyDescent="0.25">
      <c r="A825" t="s">
        <v>4</v>
      </c>
      <c r="B825" s="2">
        <v>42004</v>
      </c>
      <c r="C825" t="s">
        <v>10</v>
      </c>
      <c r="D825">
        <v>-22544566494.074982</v>
      </c>
    </row>
    <row r="826" spans="1:4" x14ac:dyDescent="0.25">
      <c r="A826" t="s">
        <v>4</v>
      </c>
      <c r="B826" s="2">
        <v>42094</v>
      </c>
      <c r="C826" t="s">
        <v>10</v>
      </c>
      <c r="D826">
        <v>41909332739.928886</v>
      </c>
    </row>
    <row r="827" spans="1:4" x14ac:dyDescent="0.25">
      <c r="A827" t="s">
        <v>4</v>
      </c>
      <c r="B827" s="2">
        <v>42185</v>
      </c>
      <c r="C827" t="s">
        <v>10</v>
      </c>
      <c r="D827">
        <v>-26848867228.542301</v>
      </c>
    </row>
    <row r="828" spans="1:4" x14ac:dyDescent="0.25">
      <c r="A828" t="s">
        <v>4</v>
      </c>
      <c r="B828" s="2">
        <v>42277</v>
      </c>
      <c r="C828" t="s">
        <v>10</v>
      </c>
      <c r="D828">
        <v>5893375168.5914917</v>
      </c>
    </row>
    <row r="829" spans="1:4" x14ac:dyDescent="0.25">
      <c r="A829" t="s">
        <v>4</v>
      </c>
      <c r="B829" s="2">
        <v>42369</v>
      </c>
      <c r="C829" t="s">
        <v>10</v>
      </c>
      <c r="D829">
        <v>-31940459307.793301</v>
      </c>
    </row>
    <row r="830" spans="1:4" x14ac:dyDescent="0.25">
      <c r="A830" t="s">
        <v>4</v>
      </c>
      <c r="B830" s="2">
        <v>42460</v>
      </c>
      <c r="C830" t="s">
        <v>10</v>
      </c>
      <c r="D830">
        <v>14264556331.751011</v>
      </c>
    </row>
    <row r="831" spans="1:4" x14ac:dyDescent="0.25">
      <c r="A831" t="s">
        <v>4</v>
      </c>
      <c r="B831" s="2">
        <v>42551</v>
      </c>
      <c r="C831" t="s">
        <v>10</v>
      </c>
      <c r="D831">
        <v>-2159831219.7200012</v>
      </c>
    </row>
    <row r="832" spans="1:4" x14ac:dyDescent="0.25">
      <c r="A832" t="s">
        <v>4</v>
      </c>
      <c r="B832" s="2">
        <v>42643</v>
      </c>
      <c r="C832" t="s">
        <v>10</v>
      </c>
      <c r="D832">
        <v>41625099511.655792</v>
      </c>
    </row>
    <row r="833" spans="1:4" x14ac:dyDescent="0.25">
      <c r="A833" t="s">
        <v>4</v>
      </c>
      <c r="B833" s="2">
        <v>42735</v>
      </c>
      <c r="C833" t="s">
        <v>10</v>
      </c>
      <c r="D833">
        <v>-22534310441.26041</v>
      </c>
    </row>
    <row r="834" spans="1:4" x14ac:dyDescent="0.25">
      <c r="A834" t="s">
        <v>4</v>
      </c>
      <c r="B834" s="2">
        <v>42825</v>
      </c>
      <c r="C834" t="s">
        <v>10</v>
      </c>
      <c r="D834">
        <v>71192507137.766815</v>
      </c>
    </row>
    <row r="835" spans="1:4" x14ac:dyDescent="0.25">
      <c r="A835" t="s">
        <v>4</v>
      </c>
      <c r="B835" s="2">
        <v>42916</v>
      </c>
      <c r="C835" t="s">
        <v>10</v>
      </c>
      <c r="D835">
        <v>-12448708560.328609</v>
      </c>
    </row>
    <row r="836" spans="1:4" x14ac:dyDescent="0.25">
      <c r="A836" t="s">
        <v>4</v>
      </c>
      <c r="B836" s="2">
        <v>43008</v>
      </c>
      <c r="C836" t="s">
        <v>10</v>
      </c>
      <c r="D836">
        <v>14794680056.23984</v>
      </c>
    </row>
    <row r="837" spans="1:4" x14ac:dyDescent="0.25">
      <c r="A837" t="s">
        <v>4</v>
      </c>
      <c r="B837" s="2">
        <v>43100</v>
      </c>
      <c r="C837" t="s">
        <v>10</v>
      </c>
      <c r="D837">
        <v>35995580826.197746</v>
      </c>
    </row>
    <row r="838" spans="1:4" x14ac:dyDescent="0.25">
      <c r="A838" t="s">
        <v>4</v>
      </c>
      <c r="B838" s="2">
        <v>43190</v>
      </c>
      <c r="C838" t="s">
        <v>10</v>
      </c>
      <c r="D838">
        <v>13696647480.104919</v>
      </c>
    </row>
    <row r="839" spans="1:4" x14ac:dyDescent="0.25">
      <c r="A839" t="s">
        <v>4</v>
      </c>
      <c r="B839" s="2">
        <v>43281</v>
      </c>
      <c r="C839" t="s">
        <v>10</v>
      </c>
      <c r="D839">
        <v>-28081602884.155521</v>
      </c>
    </row>
    <row r="840" spans="1:4" x14ac:dyDescent="0.25">
      <c r="A840" t="s">
        <v>4</v>
      </c>
      <c r="B840" s="2">
        <v>43373</v>
      </c>
      <c r="C840" t="s">
        <v>10</v>
      </c>
      <c r="D840">
        <v>4395219513.4700928</v>
      </c>
    </row>
    <row r="841" spans="1:4" x14ac:dyDescent="0.25">
      <c r="A841" t="s">
        <v>4</v>
      </c>
      <c r="B841" s="2">
        <v>43465</v>
      </c>
      <c r="C841" t="s">
        <v>10</v>
      </c>
      <c r="D841">
        <v>-16811523054.37219</v>
      </c>
    </row>
    <row r="842" spans="1:4" x14ac:dyDescent="0.25">
      <c r="A842" t="s">
        <v>4</v>
      </c>
      <c r="B842" s="2">
        <v>43555</v>
      </c>
      <c r="C842" t="s">
        <v>10</v>
      </c>
      <c r="D842">
        <v>2273696667.531189</v>
      </c>
    </row>
    <row r="843" spans="1:4" x14ac:dyDescent="0.25">
      <c r="A843" t="s">
        <v>4</v>
      </c>
      <c r="B843" s="2">
        <v>43646</v>
      </c>
      <c r="C843" t="s">
        <v>10</v>
      </c>
      <c r="D843">
        <v>-6785033724.9953003</v>
      </c>
    </row>
    <row r="844" spans="1:4" x14ac:dyDescent="0.25">
      <c r="A844" t="s">
        <v>4</v>
      </c>
      <c r="B844" s="2">
        <v>43738</v>
      </c>
      <c r="C844" t="s">
        <v>10</v>
      </c>
      <c r="D844">
        <v>2497423338.2840581</v>
      </c>
    </row>
    <row r="845" spans="1:4" x14ac:dyDescent="0.25">
      <c r="A845" t="s">
        <v>4</v>
      </c>
      <c r="B845" s="2">
        <v>43830</v>
      </c>
      <c r="C845" t="s">
        <v>10</v>
      </c>
      <c r="D845">
        <v>19145113443.477169</v>
      </c>
    </row>
    <row r="846" spans="1:4" x14ac:dyDescent="0.25">
      <c r="A846" t="s">
        <v>4</v>
      </c>
      <c r="B846" s="2">
        <v>43921</v>
      </c>
      <c r="C846" t="s">
        <v>10</v>
      </c>
      <c r="D846">
        <v>42996891913.615784</v>
      </c>
    </row>
    <row r="847" spans="1:4" x14ac:dyDescent="0.25">
      <c r="A847" t="s">
        <v>4</v>
      </c>
      <c r="B847" s="2">
        <v>44012</v>
      </c>
      <c r="C847" t="s">
        <v>10</v>
      </c>
      <c r="D847">
        <v>80592817208.040894</v>
      </c>
    </row>
    <row r="848" spans="1:4" x14ac:dyDescent="0.25">
      <c r="A848" t="s">
        <v>4</v>
      </c>
      <c r="B848" s="2">
        <v>44104</v>
      </c>
      <c r="C848" t="s">
        <v>10</v>
      </c>
      <c r="D848">
        <v>64862930926.513786</v>
      </c>
    </row>
    <row r="849" spans="1:4" x14ac:dyDescent="0.25">
      <c r="A849" t="s">
        <v>4</v>
      </c>
      <c r="B849" s="2">
        <v>44196</v>
      </c>
      <c r="C849" t="s">
        <v>10</v>
      </c>
      <c r="D849">
        <v>-15120812884.7157</v>
      </c>
    </row>
    <row r="850" spans="1:4" x14ac:dyDescent="0.25">
      <c r="A850" t="s">
        <v>4</v>
      </c>
      <c r="B850" s="2">
        <v>44286</v>
      </c>
      <c r="C850" t="s">
        <v>10</v>
      </c>
      <c r="D850">
        <v>95404667551.429321</v>
      </c>
    </row>
    <row r="851" spans="1:4" x14ac:dyDescent="0.25">
      <c r="A851" t="s">
        <v>4</v>
      </c>
      <c r="B851" s="2">
        <v>44377</v>
      </c>
      <c r="C851" t="s">
        <v>10</v>
      </c>
      <c r="D851">
        <v>-12144340802.44739</v>
      </c>
    </row>
    <row r="852" spans="1:4" x14ac:dyDescent="0.25">
      <c r="A852" t="s">
        <v>4</v>
      </c>
      <c r="B852" s="2">
        <v>44469</v>
      </c>
      <c r="C852" t="s">
        <v>10</v>
      </c>
      <c r="D852">
        <v>-52737381201.597107</v>
      </c>
    </row>
    <row r="853" spans="1:4" x14ac:dyDescent="0.25">
      <c r="A853" t="s">
        <v>4</v>
      </c>
      <c r="B853" s="2">
        <v>44561</v>
      </c>
      <c r="C853" t="s">
        <v>10</v>
      </c>
      <c r="D853">
        <v>1091701144.0346069</v>
      </c>
    </row>
    <row r="854" spans="1:4" x14ac:dyDescent="0.25">
      <c r="A854" t="s">
        <v>4</v>
      </c>
      <c r="B854" s="2">
        <v>44651</v>
      </c>
      <c r="C854" t="s">
        <v>10</v>
      </c>
      <c r="D854">
        <v>-43621563918.29303</v>
      </c>
    </row>
    <row r="855" spans="1:4" x14ac:dyDescent="0.25">
      <c r="A855" t="s">
        <v>4</v>
      </c>
      <c r="B855" s="2">
        <v>44742</v>
      </c>
      <c r="C855" t="s">
        <v>10</v>
      </c>
      <c r="D855">
        <v>-56675961789.083191</v>
      </c>
    </row>
    <row r="856" spans="1:4" x14ac:dyDescent="0.25">
      <c r="A856" t="s">
        <v>4</v>
      </c>
      <c r="B856" s="2">
        <v>44834</v>
      </c>
      <c r="C856" t="s">
        <v>10</v>
      </c>
      <c r="D856">
        <v>-663519544.07196045</v>
      </c>
    </row>
    <row r="857" spans="1:4" x14ac:dyDescent="0.25">
      <c r="A857" t="s">
        <v>4</v>
      </c>
      <c r="B857" s="2">
        <v>44926</v>
      </c>
      <c r="C857" t="s">
        <v>10</v>
      </c>
      <c r="D857">
        <v>-32937952325.869202</v>
      </c>
    </row>
    <row r="858" spans="1:4" x14ac:dyDescent="0.25">
      <c r="A858" t="s">
        <v>4</v>
      </c>
      <c r="B858" s="2">
        <v>45016</v>
      </c>
      <c r="C858" t="s">
        <v>10</v>
      </c>
      <c r="D858">
        <v>-30017387451.401611</v>
      </c>
    </row>
    <row r="859" spans="1:4" x14ac:dyDescent="0.25">
      <c r="A859" t="s">
        <v>4</v>
      </c>
      <c r="B859" s="2">
        <v>45107</v>
      </c>
      <c r="C859" t="s">
        <v>10</v>
      </c>
      <c r="D859">
        <v>44892898768.175171</v>
      </c>
    </row>
    <row r="860" spans="1:4" x14ac:dyDescent="0.25">
      <c r="A860" t="s">
        <v>4</v>
      </c>
      <c r="B860" s="2">
        <v>45199</v>
      </c>
      <c r="C860" t="s">
        <v>10</v>
      </c>
      <c r="D860">
        <v>141873649542.5488</v>
      </c>
    </row>
    <row r="861" spans="1:4" x14ac:dyDescent="0.25">
      <c r="A861" t="s">
        <v>4</v>
      </c>
      <c r="B861" s="2">
        <v>45291</v>
      </c>
      <c r="C861" t="s">
        <v>10</v>
      </c>
      <c r="D861">
        <v>5314840788.645813</v>
      </c>
    </row>
    <row r="862" spans="1:4" x14ac:dyDescent="0.25">
      <c r="A862" t="s">
        <v>4</v>
      </c>
      <c r="B862" s="2">
        <v>45382</v>
      </c>
      <c r="C862" t="s">
        <v>10</v>
      </c>
      <c r="D862">
        <v>210424417400.24591</v>
      </c>
    </row>
    <row r="863" spans="1:4" x14ac:dyDescent="0.25">
      <c r="A863" t="s">
        <v>4</v>
      </c>
      <c r="B863" s="2">
        <v>45473</v>
      </c>
      <c r="C863" t="s">
        <v>10</v>
      </c>
      <c r="D863">
        <v>54475005284.416138</v>
      </c>
    </row>
    <row r="864" spans="1:4" x14ac:dyDescent="0.25">
      <c r="A864" t="s">
        <v>4</v>
      </c>
      <c r="B864" s="2">
        <v>45565</v>
      </c>
      <c r="C864" t="s">
        <v>10</v>
      </c>
      <c r="D864">
        <v>66573094172.261597</v>
      </c>
    </row>
    <row r="865" spans="1:4" x14ac:dyDescent="0.25">
      <c r="A865" t="s">
        <v>4</v>
      </c>
      <c r="B865" s="2">
        <v>45657</v>
      </c>
      <c r="C865" t="s">
        <v>10</v>
      </c>
      <c r="D865">
        <v>-204587637342.46359</v>
      </c>
    </row>
    <row r="866" spans="1:4" x14ac:dyDescent="0.25">
      <c r="A866" t="s">
        <v>5</v>
      </c>
      <c r="B866" s="2">
        <v>36981</v>
      </c>
      <c r="C866" t="s">
        <v>10</v>
      </c>
    </row>
    <row r="867" spans="1:4" x14ac:dyDescent="0.25">
      <c r="A867" t="s">
        <v>5</v>
      </c>
      <c r="B867" s="2">
        <v>37072</v>
      </c>
      <c r="C867" t="s">
        <v>10</v>
      </c>
      <c r="D867">
        <v>108588463241.5696</v>
      </c>
    </row>
    <row r="868" spans="1:4" x14ac:dyDescent="0.25">
      <c r="A868" t="s">
        <v>5</v>
      </c>
      <c r="B868" s="2">
        <v>37164</v>
      </c>
      <c r="C868" t="s">
        <v>10</v>
      </c>
      <c r="D868">
        <v>-165656488250.90521</v>
      </c>
    </row>
    <row r="869" spans="1:4" x14ac:dyDescent="0.25">
      <c r="A869" t="s">
        <v>5</v>
      </c>
      <c r="B869" s="2">
        <v>37256</v>
      </c>
      <c r="C869" t="s">
        <v>10</v>
      </c>
      <c r="D869">
        <v>-29417137568.432129</v>
      </c>
    </row>
    <row r="870" spans="1:4" x14ac:dyDescent="0.25">
      <c r="A870" t="s">
        <v>5</v>
      </c>
      <c r="B870" s="2">
        <v>37346</v>
      </c>
      <c r="C870" t="s">
        <v>10</v>
      </c>
      <c r="D870">
        <v>38991686528.16452</v>
      </c>
    </row>
    <row r="871" spans="1:4" x14ac:dyDescent="0.25">
      <c r="A871" t="s">
        <v>5</v>
      </c>
      <c r="B871" s="2">
        <v>37437</v>
      </c>
      <c r="C871" t="s">
        <v>10</v>
      </c>
      <c r="D871">
        <v>26563709759.262791</v>
      </c>
    </row>
    <row r="872" spans="1:4" x14ac:dyDescent="0.25">
      <c r="A872" t="s">
        <v>5</v>
      </c>
      <c r="B872" s="2">
        <v>37529</v>
      </c>
      <c r="C872" t="s">
        <v>10</v>
      </c>
      <c r="D872">
        <v>-56441222587.861076</v>
      </c>
    </row>
    <row r="873" spans="1:4" x14ac:dyDescent="0.25">
      <c r="A873" t="s">
        <v>5</v>
      </c>
      <c r="B873" s="2">
        <v>37621</v>
      </c>
      <c r="C873" t="s">
        <v>10</v>
      </c>
      <c r="D873">
        <v>-40325664674.648407</v>
      </c>
    </row>
    <row r="874" spans="1:4" x14ac:dyDescent="0.25">
      <c r="A874" t="s">
        <v>5</v>
      </c>
      <c r="B874" s="2">
        <v>37711</v>
      </c>
      <c r="C874" t="s">
        <v>10</v>
      </c>
      <c r="D874">
        <v>41992198190.69809</v>
      </c>
    </row>
    <row r="875" spans="1:4" x14ac:dyDescent="0.25">
      <c r="A875" t="s">
        <v>5</v>
      </c>
      <c r="B875" s="2">
        <v>37802</v>
      </c>
      <c r="C875" t="s">
        <v>10</v>
      </c>
      <c r="D875">
        <v>107963689699.71091</v>
      </c>
    </row>
    <row r="876" spans="1:4" x14ac:dyDescent="0.25">
      <c r="A876" t="s">
        <v>5</v>
      </c>
      <c r="B876" s="2">
        <v>37894</v>
      </c>
      <c r="C876" t="s">
        <v>10</v>
      </c>
      <c r="D876">
        <v>-133155420065.21609</v>
      </c>
    </row>
    <row r="877" spans="1:4" x14ac:dyDescent="0.25">
      <c r="A877" t="s">
        <v>5</v>
      </c>
      <c r="B877" s="2">
        <v>37986</v>
      </c>
      <c r="C877" t="s">
        <v>10</v>
      </c>
      <c r="D877">
        <v>67516069134.044403</v>
      </c>
    </row>
    <row r="878" spans="1:4" x14ac:dyDescent="0.25">
      <c r="A878" t="s">
        <v>5</v>
      </c>
      <c r="B878" s="2">
        <v>38077</v>
      </c>
      <c r="C878" t="s">
        <v>10</v>
      </c>
      <c r="D878">
        <v>166238937025.68381</v>
      </c>
    </row>
    <row r="879" spans="1:4" x14ac:dyDescent="0.25">
      <c r="A879" t="s">
        <v>5</v>
      </c>
      <c r="B879" s="2">
        <v>38168</v>
      </c>
      <c r="C879" t="s">
        <v>10</v>
      </c>
      <c r="D879">
        <v>-148944802112.99429</v>
      </c>
    </row>
    <row r="880" spans="1:4" x14ac:dyDescent="0.25">
      <c r="A880" t="s">
        <v>5</v>
      </c>
      <c r="B880" s="2">
        <v>38260</v>
      </c>
      <c r="C880" t="s">
        <v>10</v>
      </c>
      <c r="D880">
        <v>-28142534782.095001</v>
      </c>
    </row>
    <row r="881" spans="1:4" x14ac:dyDescent="0.25">
      <c r="A881" t="s">
        <v>5</v>
      </c>
      <c r="B881" s="2">
        <v>38352</v>
      </c>
      <c r="C881" t="s">
        <v>10</v>
      </c>
      <c r="D881">
        <v>-9571563665.3468018</v>
      </c>
    </row>
    <row r="882" spans="1:4" x14ac:dyDescent="0.25">
      <c r="A882" t="s">
        <v>5</v>
      </c>
      <c r="B882" s="2">
        <v>38442</v>
      </c>
      <c r="C882" t="s">
        <v>10</v>
      </c>
      <c r="D882">
        <v>-29181050770.334381</v>
      </c>
    </row>
    <row r="883" spans="1:4" x14ac:dyDescent="0.25">
      <c r="A883" t="s">
        <v>5</v>
      </c>
      <c r="B883" s="2">
        <v>38533</v>
      </c>
      <c r="C883" t="s">
        <v>10</v>
      </c>
      <c r="D883">
        <v>18256486984.26889</v>
      </c>
    </row>
    <row r="884" spans="1:4" x14ac:dyDescent="0.25">
      <c r="A884" t="s">
        <v>5</v>
      </c>
      <c r="B884" s="2">
        <v>38625</v>
      </c>
      <c r="C884" t="s">
        <v>10</v>
      </c>
      <c r="D884">
        <v>73005825553.703308</v>
      </c>
    </row>
    <row r="885" spans="1:4" x14ac:dyDescent="0.25">
      <c r="A885" t="s">
        <v>5</v>
      </c>
      <c r="B885" s="2">
        <v>38717</v>
      </c>
      <c r="C885" t="s">
        <v>10</v>
      </c>
      <c r="D885">
        <v>-94208675734.313416</v>
      </c>
    </row>
    <row r="886" spans="1:4" x14ac:dyDescent="0.25">
      <c r="A886" t="s">
        <v>5</v>
      </c>
      <c r="B886" s="2">
        <v>38807</v>
      </c>
      <c r="C886" t="s">
        <v>10</v>
      </c>
      <c r="D886">
        <v>95025036905.359497</v>
      </c>
    </row>
    <row r="887" spans="1:4" x14ac:dyDescent="0.25">
      <c r="A887" t="s">
        <v>5</v>
      </c>
      <c r="B887" s="2">
        <v>38898</v>
      </c>
      <c r="C887" t="s">
        <v>10</v>
      </c>
      <c r="D887">
        <v>331085738645.9491</v>
      </c>
    </row>
    <row r="888" spans="1:4" x14ac:dyDescent="0.25">
      <c r="A888" t="s">
        <v>5</v>
      </c>
      <c r="B888" s="2">
        <v>38990</v>
      </c>
      <c r="C888" t="s">
        <v>10</v>
      </c>
      <c r="D888">
        <v>-140442379833.4169</v>
      </c>
    </row>
    <row r="889" spans="1:4" x14ac:dyDescent="0.25">
      <c r="A889" t="s">
        <v>5</v>
      </c>
      <c r="B889" s="2">
        <v>39082</v>
      </c>
      <c r="C889" t="s">
        <v>10</v>
      </c>
      <c r="D889">
        <v>247448255141.91251</v>
      </c>
    </row>
    <row r="890" spans="1:4" x14ac:dyDescent="0.25">
      <c r="A890" t="s">
        <v>5</v>
      </c>
      <c r="B890" s="2">
        <v>39172</v>
      </c>
      <c r="C890" t="s">
        <v>10</v>
      </c>
      <c r="D890">
        <v>856636664167.71008</v>
      </c>
    </row>
    <row r="891" spans="1:4" x14ac:dyDescent="0.25">
      <c r="A891" t="s">
        <v>5</v>
      </c>
      <c r="B891" s="2">
        <v>39263</v>
      </c>
      <c r="C891" t="s">
        <v>10</v>
      </c>
      <c r="D891">
        <v>1763385044904.3501</v>
      </c>
    </row>
    <row r="892" spans="1:4" x14ac:dyDescent="0.25">
      <c r="A892" t="s">
        <v>5</v>
      </c>
      <c r="B892" s="2">
        <v>39355</v>
      </c>
      <c r="C892" t="s">
        <v>10</v>
      </c>
      <c r="D892">
        <v>-629897019487.90918</v>
      </c>
    </row>
    <row r="893" spans="1:4" x14ac:dyDescent="0.25">
      <c r="A893" t="s">
        <v>5</v>
      </c>
      <c r="B893" s="2">
        <v>39447</v>
      </c>
      <c r="C893" t="s">
        <v>10</v>
      </c>
      <c r="D893">
        <v>-916138481600.36182</v>
      </c>
    </row>
    <row r="894" spans="1:4" x14ac:dyDescent="0.25">
      <c r="A894" t="s">
        <v>5</v>
      </c>
      <c r="B894" s="2">
        <v>39538</v>
      </c>
      <c r="C894" t="s">
        <v>10</v>
      </c>
      <c r="D894">
        <v>66713705087.610107</v>
      </c>
    </row>
    <row r="895" spans="1:4" x14ac:dyDescent="0.25">
      <c r="A895" t="s">
        <v>5</v>
      </c>
      <c r="B895" s="2">
        <v>39629</v>
      </c>
      <c r="C895" t="s">
        <v>10</v>
      </c>
      <c r="D895">
        <v>-435561895349.68597</v>
      </c>
    </row>
    <row r="896" spans="1:4" x14ac:dyDescent="0.25">
      <c r="A896" t="s">
        <v>5</v>
      </c>
      <c r="B896" s="2">
        <v>39721</v>
      </c>
      <c r="C896" t="s">
        <v>10</v>
      </c>
      <c r="D896">
        <v>-500308898414.21802</v>
      </c>
    </row>
    <row r="897" spans="1:4" x14ac:dyDescent="0.25">
      <c r="A897" t="s">
        <v>5</v>
      </c>
      <c r="B897" s="2">
        <v>39813</v>
      </c>
      <c r="C897" t="s">
        <v>10</v>
      </c>
      <c r="D897">
        <v>89831159312.2323</v>
      </c>
    </row>
    <row r="898" spans="1:4" x14ac:dyDescent="0.25">
      <c r="A898" t="s">
        <v>5</v>
      </c>
      <c r="B898" s="2">
        <v>39903</v>
      </c>
      <c r="C898" t="s">
        <v>10</v>
      </c>
      <c r="D898">
        <v>790805800151.08972</v>
      </c>
    </row>
    <row r="899" spans="1:4" x14ac:dyDescent="0.25">
      <c r="A899" t="s">
        <v>5</v>
      </c>
      <c r="B899" s="2">
        <v>39994</v>
      </c>
      <c r="C899" t="s">
        <v>10</v>
      </c>
      <c r="D899">
        <v>704130322517.82397</v>
      </c>
    </row>
    <row r="900" spans="1:4" x14ac:dyDescent="0.25">
      <c r="A900" t="s">
        <v>5</v>
      </c>
      <c r="B900" s="2">
        <v>40086</v>
      </c>
      <c r="C900" t="s">
        <v>10</v>
      </c>
      <c r="D900">
        <v>699483284625.41113</v>
      </c>
    </row>
    <row r="901" spans="1:4" x14ac:dyDescent="0.25">
      <c r="A901" t="s">
        <v>5</v>
      </c>
      <c r="B901" s="2">
        <v>40178</v>
      </c>
      <c r="C901" t="s">
        <v>10</v>
      </c>
      <c r="D901">
        <v>-351206999700.8252</v>
      </c>
    </row>
    <row r="902" spans="1:4" x14ac:dyDescent="0.25">
      <c r="A902" t="s">
        <v>5</v>
      </c>
      <c r="B902" s="2">
        <v>40268</v>
      </c>
      <c r="C902" t="s">
        <v>10</v>
      </c>
      <c r="D902">
        <v>-650803879713.90601</v>
      </c>
    </row>
    <row r="903" spans="1:4" x14ac:dyDescent="0.25">
      <c r="A903" t="s">
        <v>5</v>
      </c>
      <c r="B903" s="2">
        <v>40359</v>
      </c>
      <c r="C903" t="s">
        <v>10</v>
      </c>
      <c r="D903">
        <v>-113087992287.6541</v>
      </c>
    </row>
    <row r="904" spans="1:4" x14ac:dyDescent="0.25">
      <c r="A904" t="s">
        <v>5</v>
      </c>
      <c r="B904" s="2">
        <v>40451</v>
      </c>
      <c r="C904" t="s">
        <v>10</v>
      </c>
      <c r="D904">
        <v>250775012823.85989</v>
      </c>
    </row>
    <row r="905" spans="1:4" x14ac:dyDescent="0.25">
      <c r="A905" t="s">
        <v>5</v>
      </c>
      <c r="B905" s="2">
        <v>40543</v>
      </c>
      <c r="C905" t="s">
        <v>10</v>
      </c>
      <c r="D905">
        <v>1229855573401.76</v>
      </c>
    </row>
    <row r="906" spans="1:4" x14ac:dyDescent="0.25">
      <c r="A906" t="s">
        <v>5</v>
      </c>
      <c r="B906" s="2">
        <v>40633</v>
      </c>
      <c r="C906" t="s">
        <v>10</v>
      </c>
      <c r="D906">
        <v>-1133939185771.8379</v>
      </c>
    </row>
    <row r="907" spans="1:4" x14ac:dyDescent="0.25">
      <c r="A907" t="s">
        <v>5</v>
      </c>
      <c r="B907" s="2">
        <v>40724</v>
      </c>
      <c r="C907" t="s">
        <v>10</v>
      </c>
      <c r="D907">
        <v>-437449401582.28809</v>
      </c>
    </row>
    <row r="908" spans="1:4" x14ac:dyDescent="0.25">
      <c r="A908" t="s">
        <v>5</v>
      </c>
      <c r="B908" s="2">
        <v>40816</v>
      </c>
      <c r="C908" t="s">
        <v>10</v>
      </c>
      <c r="D908">
        <v>-192104464540.03711</v>
      </c>
    </row>
    <row r="909" spans="1:4" x14ac:dyDescent="0.25">
      <c r="A909" t="s">
        <v>5</v>
      </c>
      <c r="B909" s="2">
        <v>40908</v>
      </c>
      <c r="C909" t="s">
        <v>10</v>
      </c>
      <c r="D909">
        <v>-496655174603.19598</v>
      </c>
    </row>
    <row r="910" spans="1:4" x14ac:dyDescent="0.25">
      <c r="A910" t="s">
        <v>5</v>
      </c>
      <c r="B910" s="2">
        <v>40999</v>
      </c>
      <c r="C910" t="s">
        <v>10</v>
      </c>
      <c r="D910">
        <v>246555090121.2261</v>
      </c>
    </row>
    <row r="911" spans="1:4" x14ac:dyDescent="0.25">
      <c r="A911" t="s">
        <v>5</v>
      </c>
      <c r="B911" s="2">
        <v>41090</v>
      </c>
      <c r="C911" t="s">
        <v>10</v>
      </c>
      <c r="D911">
        <v>-43852409044.105957</v>
      </c>
    </row>
    <row r="912" spans="1:4" x14ac:dyDescent="0.25">
      <c r="A912" t="s">
        <v>5</v>
      </c>
      <c r="B912" s="2">
        <v>41182</v>
      </c>
      <c r="C912" t="s">
        <v>10</v>
      </c>
      <c r="D912">
        <v>-237747207310.21091</v>
      </c>
    </row>
    <row r="913" spans="1:4" x14ac:dyDescent="0.25">
      <c r="A913" t="s">
        <v>5</v>
      </c>
      <c r="B913" s="2">
        <v>41274</v>
      </c>
      <c r="C913" t="s">
        <v>10</v>
      </c>
      <c r="D913">
        <v>-88254519857.994141</v>
      </c>
    </row>
    <row r="914" spans="1:4" x14ac:dyDescent="0.25">
      <c r="A914" t="s">
        <v>5</v>
      </c>
      <c r="B914" s="2">
        <v>41364</v>
      </c>
      <c r="C914" t="s">
        <v>10</v>
      </c>
      <c r="D914">
        <v>721228629885.76611</v>
      </c>
    </row>
    <row r="915" spans="1:4" x14ac:dyDescent="0.25">
      <c r="A915" t="s">
        <v>5</v>
      </c>
      <c r="B915" s="2">
        <v>41455</v>
      </c>
      <c r="C915" t="s">
        <v>10</v>
      </c>
      <c r="D915">
        <v>-207015593534.58011</v>
      </c>
    </row>
    <row r="916" spans="1:4" x14ac:dyDescent="0.25">
      <c r="A916" t="s">
        <v>5</v>
      </c>
      <c r="B916" s="2">
        <v>41547</v>
      </c>
      <c r="C916" t="s">
        <v>10</v>
      </c>
      <c r="D916">
        <v>562650173047.63306</v>
      </c>
    </row>
    <row r="917" spans="1:4" x14ac:dyDescent="0.25">
      <c r="A917" t="s">
        <v>5</v>
      </c>
      <c r="B917" s="2">
        <v>41639</v>
      </c>
      <c r="C917" t="s">
        <v>10</v>
      </c>
      <c r="D917">
        <v>-189460990993.53809</v>
      </c>
    </row>
    <row r="918" spans="1:4" x14ac:dyDescent="0.25">
      <c r="A918" t="s">
        <v>5</v>
      </c>
      <c r="B918" s="2">
        <v>41729</v>
      </c>
      <c r="C918" t="s">
        <v>10</v>
      </c>
      <c r="D918">
        <v>-46013414182.25708</v>
      </c>
    </row>
    <row r="919" spans="1:4" x14ac:dyDescent="0.25">
      <c r="A919" t="s">
        <v>5</v>
      </c>
      <c r="B919" s="2">
        <v>41820</v>
      </c>
      <c r="C919" t="s">
        <v>10</v>
      </c>
      <c r="D919">
        <v>-432444949293.26489</v>
      </c>
    </row>
    <row r="920" spans="1:4" x14ac:dyDescent="0.25">
      <c r="A920" t="s">
        <v>5</v>
      </c>
      <c r="B920" s="2">
        <v>41912</v>
      </c>
      <c r="C920" t="s">
        <v>10</v>
      </c>
      <c r="D920">
        <v>1560086366513.51</v>
      </c>
    </row>
    <row r="921" spans="1:4" x14ac:dyDescent="0.25">
      <c r="A921" t="s">
        <v>5</v>
      </c>
      <c r="B921" s="2">
        <v>42004</v>
      </c>
      <c r="C921" t="s">
        <v>10</v>
      </c>
      <c r="D921">
        <v>2339792791696.4238</v>
      </c>
    </row>
    <row r="922" spans="1:4" x14ac:dyDescent="0.25">
      <c r="A922" t="s">
        <v>5</v>
      </c>
      <c r="B922" s="2">
        <v>42094</v>
      </c>
      <c r="C922" t="s">
        <v>10</v>
      </c>
      <c r="D922">
        <v>1184821259506.5281</v>
      </c>
    </row>
    <row r="923" spans="1:4" x14ac:dyDescent="0.25">
      <c r="A923" t="s">
        <v>5</v>
      </c>
      <c r="B923" s="2">
        <v>42185</v>
      </c>
      <c r="C923" t="s">
        <v>10</v>
      </c>
      <c r="D923">
        <v>9195737182131.5918</v>
      </c>
    </row>
    <row r="924" spans="1:4" x14ac:dyDescent="0.25">
      <c r="A924" t="s">
        <v>5</v>
      </c>
      <c r="B924" s="2">
        <v>42277</v>
      </c>
      <c r="C924" t="s">
        <v>10</v>
      </c>
      <c r="D924">
        <v>-6173576145869.4629</v>
      </c>
    </row>
    <row r="925" spans="1:4" x14ac:dyDescent="0.25">
      <c r="A925" t="s">
        <v>5</v>
      </c>
      <c r="B925" s="2">
        <v>42369</v>
      </c>
      <c r="C925" t="s">
        <v>10</v>
      </c>
      <c r="D925">
        <v>-738243636603.33984</v>
      </c>
    </row>
    <row r="926" spans="1:4" x14ac:dyDescent="0.25">
      <c r="A926" t="s">
        <v>5</v>
      </c>
      <c r="B926" s="2">
        <v>42460</v>
      </c>
      <c r="C926" t="s">
        <v>10</v>
      </c>
      <c r="D926">
        <v>-3866320688109.3208</v>
      </c>
    </row>
    <row r="927" spans="1:4" x14ac:dyDescent="0.25">
      <c r="A927" t="s">
        <v>5</v>
      </c>
      <c r="B927" s="2">
        <v>42551</v>
      </c>
      <c r="C927" t="s">
        <v>10</v>
      </c>
      <c r="D927">
        <v>7087987069.9355469</v>
      </c>
    </row>
    <row r="928" spans="1:4" x14ac:dyDescent="0.25">
      <c r="A928" t="s">
        <v>5</v>
      </c>
      <c r="B928" s="2">
        <v>42643</v>
      </c>
      <c r="C928" t="s">
        <v>10</v>
      </c>
      <c r="D928">
        <v>22182388149.24902</v>
      </c>
    </row>
    <row r="929" spans="1:4" x14ac:dyDescent="0.25">
      <c r="A929" t="s">
        <v>5</v>
      </c>
      <c r="B929" s="2">
        <v>42735</v>
      </c>
      <c r="C929" t="s">
        <v>10</v>
      </c>
      <c r="D929">
        <v>-172740493281.5488</v>
      </c>
    </row>
    <row r="930" spans="1:4" x14ac:dyDescent="0.25">
      <c r="A930" t="s">
        <v>5</v>
      </c>
      <c r="B930" s="2">
        <v>42825</v>
      </c>
      <c r="C930" t="s">
        <v>10</v>
      </c>
      <c r="D930">
        <v>-794047877585.19629</v>
      </c>
    </row>
    <row r="931" spans="1:4" x14ac:dyDescent="0.25">
      <c r="A931" t="s">
        <v>5</v>
      </c>
      <c r="B931" s="2">
        <v>42916</v>
      </c>
      <c r="C931" t="s">
        <v>10</v>
      </c>
      <c r="D931">
        <v>-87752042884.013184</v>
      </c>
    </row>
    <row r="932" spans="1:4" x14ac:dyDescent="0.25">
      <c r="A932" t="s">
        <v>5</v>
      </c>
      <c r="B932" s="2">
        <v>43008</v>
      </c>
      <c r="C932" t="s">
        <v>10</v>
      </c>
      <c r="D932">
        <v>1105208258396.2791</v>
      </c>
    </row>
    <row r="933" spans="1:4" x14ac:dyDescent="0.25">
      <c r="A933" t="s">
        <v>5</v>
      </c>
      <c r="B933" s="2">
        <v>43100</v>
      </c>
      <c r="C933" t="s">
        <v>10</v>
      </c>
      <c r="D933">
        <v>-940078770653.35693</v>
      </c>
    </row>
    <row r="934" spans="1:4" x14ac:dyDescent="0.25">
      <c r="A934" t="s">
        <v>5</v>
      </c>
      <c r="B934" s="2">
        <v>43190</v>
      </c>
      <c r="C934" t="s">
        <v>10</v>
      </c>
      <c r="D934">
        <v>104967408341.895</v>
      </c>
    </row>
    <row r="935" spans="1:4" x14ac:dyDescent="0.25">
      <c r="A935" t="s">
        <v>5</v>
      </c>
      <c r="B935" s="2">
        <v>43281</v>
      </c>
      <c r="C935" t="s">
        <v>10</v>
      </c>
      <c r="D935">
        <v>-590278827449.58301</v>
      </c>
    </row>
    <row r="936" spans="1:4" x14ac:dyDescent="0.25">
      <c r="A936" t="s">
        <v>5</v>
      </c>
      <c r="B936" s="2">
        <v>43373</v>
      </c>
      <c r="C936" t="s">
        <v>10</v>
      </c>
      <c r="D936">
        <v>-775143120945.25098</v>
      </c>
    </row>
    <row r="937" spans="1:4" x14ac:dyDescent="0.25">
      <c r="A937" t="s">
        <v>5</v>
      </c>
      <c r="B937" s="2">
        <v>43465</v>
      </c>
      <c r="C937" t="s">
        <v>10</v>
      </c>
      <c r="D937">
        <v>-164823666251.73489</v>
      </c>
    </row>
    <row r="938" spans="1:4" x14ac:dyDescent="0.25">
      <c r="A938" t="s">
        <v>5</v>
      </c>
      <c r="B938" s="2">
        <v>43555</v>
      </c>
      <c r="C938" t="s">
        <v>10</v>
      </c>
      <c r="D938">
        <v>2319176741747.6602</v>
      </c>
    </row>
    <row r="939" spans="1:4" x14ac:dyDescent="0.25">
      <c r="A939" t="s">
        <v>5</v>
      </c>
      <c r="B939" s="2">
        <v>43646</v>
      </c>
      <c r="C939" t="s">
        <v>10</v>
      </c>
      <c r="D939">
        <v>197767946258.22949</v>
      </c>
    </row>
    <row r="940" spans="1:4" x14ac:dyDescent="0.25">
      <c r="A940" t="s">
        <v>5</v>
      </c>
      <c r="B940" s="2">
        <v>43738</v>
      </c>
      <c r="C940" t="s">
        <v>10</v>
      </c>
      <c r="D940">
        <v>-809173552267.75195</v>
      </c>
    </row>
    <row r="941" spans="1:4" x14ac:dyDescent="0.25">
      <c r="A941" t="s">
        <v>5</v>
      </c>
      <c r="B941" s="2">
        <v>43830</v>
      </c>
      <c r="C941" t="s">
        <v>10</v>
      </c>
      <c r="D941">
        <v>-501784881402.90039</v>
      </c>
    </row>
    <row r="942" spans="1:4" x14ac:dyDescent="0.25">
      <c r="A942" t="s">
        <v>5</v>
      </c>
      <c r="B942" s="2">
        <v>43921</v>
      </c>
      <c r="C942" t="s">
        <v>10</v>
      </c>
      <c r="D942">
        <v>3133044072463.96</v>
      </c>
    </row>
    <row r="943" spans="1:4" x14ac:dyDescent="0.25">
      <c r="A943" t="s">
        <v>5</v>
      </c>
      <c r="B943" s="2">
        <v>44012</v>
      </c>
      <c r="C943" t="s">
        <v>10</v>
      </c>
      <c r="D943">
        <v>-1458652067402.4209</v>
      </c>
    </row>
    <row r="944" spans="1:4" x14ac:dyDescent="0.25">
      <c r="A944" t="s">
        <v>5</v>
      </c>
      <c r="B944" s="2">
        <v>44104</v>
      </c>
      <c r="C944" t="s">
        <v>10</v>
      </c>
      <c r="D944">
        <v>4393848198260.7642</v>
      </c>
    </row>
    <row r="945" spans="1:4" x14ac:dyDescent="0.25">
      <c r="A945" t="s">
        <v>5</v>
      </c>
      <c r="B945" s="2">
        <v>44196</v>
      </c>
      <c r="C945" t="s">
        <v>10</v>
      </c>
      <c r="D945">
        <v>-3057336655737.207</v>
      </c>
    </row>
    <row r="946" spans="1:4" x14ac:dyDescent="0.25">
      <c r="A946" t="s">
        <v>5</v>
      </c>
      <c r="B946" s="2">
        <v>44286</v>
      </c>
      <c r="C946" t="s">
        <v>10</v>
      </c>
      <c r="D946">
        <v>832618042650.28516</v>
      </c>
    </row>
    <row r="947" spans="1:4" x14ac:dyDescent="0.25">
      <c r="A947" t="s">
        <v>5</v>
      </c>
      <c r="B947" s="2">
        <v>44377</v>
      </c>
      <c r="C947" t="s">
        <v>10</v>
      </c>
      <c r="D947">
        <v>-274649667210.0264</v>
      </c>
    </row>
    <row r="948" spans="1:4" x14ac:dyDescent="0.25">
      <c r="A948" t="s">
        <v>5</v>
      </c>
      <c r="B948" s="2">
        <v>44469</v>
      </c>
      <c r="C948" t="s">
        <v>10</v>
      </c>
      <c r="D948">
        <v>4370212444485.8682</v>
      </c>
    </row>
    <row r="949" spans="1:4" x14ac:dyDescent="0.25">
      <c r="A949" t="s">
        <v>5</v>
      </c>
      <c r="B949" s="2">
        <v>44561</v>
      </c>
      <c r="C949" t="s">
        <v>10</v>
      </c>
      <c r="D949">
        <v>-2394792928399.8398</v>
      </c>
    </row>
    <row r="950" spans="1:4" x14ac:dyDescent="0.25">
      <c r="A950" t="s">
        <v>5</v>
      </c>
      <c r="B950" s="2">
        <v>44651</v>
      </c>
      <c r="C950" t="s">
        <v>10</v>
      </c>
      <c r="D950">
        <v>-1288808376935.408</v>
      </c>
    </row>
    <row r="951" spans="1:4" x14ac:dyDescent="0.25">
      <c r="A951" t="s">
        <v>5</v>
      </c>
      <c r="B951" s="2">
        <v>44742</v>
      </c>
      <c r="C951" t="s">
        <v>10</v>
      </c>
      <c r="D951">
        <v>-399860610546.51862</v>
      </c>
    </row>
    <row r="952" spans="1:4" x14ac:dyDescent="0.25">
      <c r="A952" t="s">
        <v>5</v>
      </c>
      <c r="B952" s="2">
        <v>44834</v>
      </c>
      <c r="C952" t="s">
        <v>10</v>
      </c>
      <c r="D952">
        <v>485324550925.91803</v>
      </c>
    </row>
    <row r="953" spans="1:4" x14ac:dyDescent="0.25">
      <c r="A953" t="s">
        <v>5</v>
      </c>
      <c r="B953" s="2">
        <v>44926</v>
      </c>
      <c r="C953" t="s">
        <v>10</v>
      </c>
      <c r="D953">
        <v>-1289448570377.74</v>
      </c>
    </row>
    <row r="954" spans="1:4" x14ac:dyDescent="0.25">
      <c r="A954" t="s">
        <v>5</v>
      </c>
      <c r="B954" s="2">
        <v>45016</v>
      </c>
      <c r="C954" t="s">
        <v>10</v>
      </c>
      <c r="D954">
        <v>197123595792.78421</v>
      </c>
    </row>
    <row r="955" spans="1:4" x14ac:dyDescent="0.25">
      <c r="A955" t="s">
        <v>5</v>
      </c>
      <c r="B955" s="2">
        <v>45107</v>
      </c>
      <c r="C955" t="s">
        <v>10</v>
      </c>
      <c r="D955">
        <v>1098755512517.963</v>
      </c>
    </row>
    <row r="956" spans="1:4" x14ac:dyDescent="0.25">
      <c r="A956" t="s">
        <v>5</v>
      </c>
      <c r="B956" s="2">
        <v>45199</v>
      </c>
      <c r="C956" t="s">
        <v>10</v>
      </c>
      <c r="D956">
        <v>-1181622400241.123</v>
      </c>
    </row>
    <row r="957" spans="1:4" x14ac:dyDescent="0.25">
      <c r="A957" t="s">
        <v>5</v>
      </c>
      <c r="B957" s="2">
        <v>45291</v>
      </c>
      <c r="C957" t="s">
        <v>10</v>
      </c>
      <c r="D957">
        <v>-215206557677.09769</v>
      </c>
    </row>
    <row r="958" spans="1:4" x14ac:dyDescent="0.25">
      <c r="A958" t="s">
        <v>5</v>
      </c>
      <c r="B958" s="2">
        <v>45382</v>
      </c>
      <c r="C958" t="s">
        <v>10</v>
      </c>
      <c r="D958">
        <v>231560612191.68549</v>
      </c>
    </row>
    <row r="959" spans="1:4" x14ac:dyDescent="0.25">
      <c r="A959" t="s">
        <v>5</v>
      </c>
      <c r="B959" s="2">
        <v>45473</v>
      </c>
      <c r="C959" t="s">
        <v>10</v>
      </c>
      <c r="D959">
        <v>-335836285095.0293</v>
      </c>
    </row>
    <row r="960" spans="1:4" x14ac:dyDescent="0.25">
      <c r="A960" t="s">
        <v>5</v>
      </c>
      <c r="B960" s="2">
        <v>45565</v>
      </c>
      <c r="C960" t="s">
        <v>10</v>
      </c>
      <c r="D960">
        <v>-824427737300.76074</v>
      </c>
    </row>
    <row r="961" spans="1:4" x14ac:dyDescent="0.25">
      <c r="A961" t="s">
        <v>5</v>
      </c>
      <c r="B961" s="2">
        <v>45657</v>
      </c>
      <c r="C961" t="s">
        <v>10</v>
      </c>
      <c r="D961">
        <v>9517581623255.125</v>
      </c>
    </row>
    <row r="962" spans="1:4" x14ac:dyDescent="0.25">
      <c r="A962" t="s">
        <v>4</v>
      </c>
      <c r="B962" s="2">
        <v>36981</v>
      </c>
      <c r="C962" t="s">
        <v>11</v>
      </c>
    </row>
    <row r="963" spans="1:4" x14ac:dyDescent="0.25">
      <c r="A963" t="s">
        <v>4</v>
      </c>
      <c r="B963" s="2">
        <v>37072</v>
      </c>
      <c r="C963" t="s">
        <v>11</v>
      </c>
      <c r="D963">
        <v>-0.55693804842896744</v>
      </c>
    </row>
    <row r="964" spans="1:4" x14ac:dyDescent="0.25">
      <c r="A964" t="s">
        <v>4</v>
      </c>
      <c r="B964" s="2">
        <v>37164</v>
      </c>
      <c r="C964" t="s">
        <v>11</v>
      </c>
      <c r="D964">
        <v>-3.998631259808888E-2</v>
      </c>
    </row>
    <row r="965" spans="1:4" x14ac:dyDescent="0.25">
      <c r="A965" t="s">
        <v>4</v>
      </c>
      <c r="B965" s="2">
        <v>37256</v>
      </c>
      <c r="C965" t="s">
        <v>11</v>
      </c>
      <c r="D965">
        <v>6.6355580171804762E-2</v>
      </c>
    </row>
    <row r="966" spans="1:4" x14ac:dyDescent="0.25">
      <c r="A966" t="s">
        <v>4</v>
      </c>
      <c r="B966" s="2">
        <v>37346</v>
      </c>
      <c r="C966" t="s">
        <v>11</v>
      </c>
      <c r="D966">
        <v>2.674771287120753E-2</v>
      </c>
    </row>
    <row r="967" spans="1:4" x14ac:dyDescent="0.25">
      <c r="A967" t="s">
        <v>4</v>
      </c>
      <c r="B967" s="2">
        <v>37437</v>
      </c>
      <c r="C967" t="s">
        <v>11</v>
      </c>
      <c r="D967">
        <v>-5.289635633235712E-2</v>
      </c>
    </row>
    <row r="968" spans="1:4" x14ac:dyDescent="0.25">
      <c r="A968" t="s">
        <v>4</v>
      </c>
      <c r="B968" s="2">
        <v>37529</v>
      </c>
      <c r="C968" t="s">
        <v>11</v>
      </c>
      <c r="D968">
        <v>1.875086297021911E-2</v>
      </c>
    </row>
    <row r="969" spans="1:4" x14ac:dyDescent="0.25">
      <c r="A969" t="s">
        <v>4</v>
      </c>
      <c r="B969" s="2">
        <v>37621</v>
      </c>
      <c r="C969" t="s">
        <v>11</v>
      </c>
      <c r="D969">
        <v>1.316160523206422E-2</v>
      </c>
    </row>
    <row r="970" spans="1:4" x14ac:dyDescent="0.25">
      <c r="A970" t="s">
        <v>4</v>
      </c>
      <c r="B970" s="2">
        <v>37711</v>
      </c>
      <c r="C970" t="s">
        <v>11</v>
      </c>
      <c r="D970">
        <v>3.2699538053940942E-2</v>
      </c>
    </row>
    <row r="971" spans="1:4" x14ac:dyDescent="0.25">
      <c r="A971" t="s">
        <v>4</v>
      </c>
      <c r="B971" s="2">
        <v>37802</v>
      </c>
      <c r="C971" t="s">
        <v>11</v>
      </c>
      <c r="D971">
        <v>-0.1117843087206189</v>
      </c>
    </row>
    <row r="972" spans="1:4" x14ac:dyDescent="0.25">
      <c r="A972" t="s">
        <v>4</v>
      </c>
      <c r="B972" s="2">
        <v>37894</v>
      </c>
      <c r="C972" t="s">
        <v>11</v>
      </c>
      <c r="D972">
        <v>0.1006164595038779</v>
      </c>
    </row>
    <row r="973" spans="1:4" x14ac:dyDescent="0.25">
      <c r="A973" t="s">
        <v>4</v>
      </c>
      <c r="B973" s="2">
        <v>37986</v>
      </c>
      <c r="C973" t="s">
        <v>11</v>
      </c>
      <c r="D973">
        <v>-1.4766346810546499E-2</v>
      </c>
    </row>
    <row r="974" spans="1:4" x14ac:dyDescent="0.25">
      <c r="A974" t="s">
        <v>4</v>
      </c>
      <c r="B974" s="2">
        <v>38077</v>
      </c>
      <c r="C974" t="s">
        <v>11</v>
      </c>
      <c r="D974">
        <v>6.0551998657349122E-2</v>
      </c>
    </row>
    <row r="975" spans="1:4" x14ac:dyDescent="0.25">
      <c r="A975" t="s">
        <v>4</v>
      </c>
      <c r="B975" s="2">
        <v>38168</v>
      </c>
      <c r="C975" t="s">
        <v>11</v>
      </c>
      <c r="D975">
        <v>-4.0690984335439939E-2</v>
      </c>
    </row>
    <row r="976" spans="1:4" x14ac:dyDescent="0.25">
      <c r="A976" t="s">
        <v>4</v>
      </c>
      <c r="B976" s="2">
        <v>38260</v>
      </c>
      <c r="C976" t="s">
        <v>11</v>
      </c>
      <c r="D976">
        <v>-0.1090117524443034</v>
      </c>
    </row>
    <row r="977" spans="1:4" x14ac:dyDescent="0.25">
      <c r="A977" t="s">
        <v>4</v>
      </c>
      <c r="B977" s="2">
        <v>38352</v>
      </c>
      <c r="C977" t="s">
        <v>11</v>
      </c>
      <c r="D977">
        <v>-8.1152154408966198E-2</v>
      </c>
    </row>
    <row r="978" spans="1:4" x14ac:dyDescent="0.25">
      <c r="A978" t="s">
        <v>4</v>
      </c>
      <c r="B978" s="2">
        <v>38442</v>
      </c>
      <c r="C978" t="s">
        <v>11</v>
      </c>
      <c r="D978">
        <v>4.0711184696330088E-2</v>
      </c>
    </row>
    <row r="979" spans="1:4" x14ac:dyDescent="0.25">
      <c r="A979" t="s">
        <v>4</v>
      </c>
      <c r="B979" s="2">
        <v>38533</v>
      </c>
      <c r="C979" t="s">
        <v>11</v>
      </c>
      <c r="D979">
        <v>-3.0842710159380119E-2</v>
      </c>
    </row>
    <row r="980" spans="1:4" x14ac:dyDescent="0.25">
      <c r="A980" t="s">
        <v>4</v>
      </c>
      <c r="B980" s="2">
        <v>38625</v>
      </c>
      <c r="C980" t="s">
        <v>11</v>
      </c>
      <c r="D980">
        <v>3.7439711408844438E-2</v>
      </c>
    </row>
    <row r="981" spans="1:4" x14ac:dyDescent="0.25">
      <c r="A981" t="s">
        <v>4</v>
      </c>
      <c r="B981" s="2">
        <v>38717</v>
      </c>
      <c r="C981" t="s">
        <v>11</v>
      </c>
      <c r="D981">
        <v>-5.2103607217298092E-2</v>
      </c>
    </row>
    <row r="982" spans="1:4" x14ac:dyDescent="0.25">
      <c r="A982" t="s">
        <v>4</v>
      </c>
      <c r="B982" s="2">
        <v>38807</v>
      </c>
      <c r="C982" t="s">
        <v>11</v>
      </c>
      <c r="D982">
        <v>2.350135887928503E-2</v>
      </c>
    </row>
    <row r="983" spans="1:4" x14ac:dyDescent="0.25">
      <c r="A983" t="s">
        <v>4</v>
      </c>
      <c r="B983" s="2">
        <v>38898</v>
      </c>
      <c r="C983" t="s">
        <v>11</v>
      </c>
      <c r="D983">
        <v>3.610345322560804E-2</v>
      </c>
    </row>
    <row r="984" spans="1:4" x14ac:dyDescent="0.25">
      <c r="A984" t="s">
        <v>4</v>
      </c>
      <c r="B984" s="2">
        <v>38990</v>
      </c>
      <c r="C984" t="s">
        <v>11</v>
      </c>
      <c r="D984">
        <v>-9.3572531552328558E-2</v>
      </c>
    </row>
    <row r="985" spans="1:4" x14ac:dyDescent="0.25">
      <c r="A985" t="s">
        <v>4</v>
      </c>
      <c r="B985" s="2">
        <v>39082</v>
      </c>
      <c r="C985" t="s">
        <v>11</v>
      </c>
      <c r="D985">
        <v>1.361667947017076E-2</v>
      </c>
    </row>
    <row r="986" spans="1:4" x14ac:dyDescent="0.25">
      <c r="A986" t="s">
        <v>4</v>
      </c>
      <c r="B986" s="2">
        <v>39172</v>
      </c>
      <c r="C986" t="s">
        <v>11</v>
      </c>
      <c r="D986">
        <v>2.253167869109499E-2</v>
      </c>
    </row>
    <row r="987" spans="1:4" x14ac:dyDescent="0.25">
      <c r="A987" t="s">
        <v>4</v>
      </c>
      <c r="B987" s="2">
        <v>39263</v>
      </c>
      <c r="C987" t="s">
        <v>11</v>
      </c>
      <c r="D987">
        <v>-1.9185375038455101E-2</v>
      </c>
    </row>
    <row r="988" spans="1:4" x14ac:dyDescent="0.25">
      <c r="A988" t="s">
        <v>4</v>
      </c>
      <c r="B988" s="2">
        <v>39355</v>
      </c>
      <c r="C988" t="s">
        <v>11</v>
      </c>
      <c r="D988">
        <v>3.236377799989643E-3</v>
      </c>
    </row>
    <row r="989" spans="1:4" x14ac:dyDescent="0.25">
      <c r="A989" t="s">
        <v>4</v>
      </c>
      <c r="B989" s="2">
        <v>39447</v>
      </c>
      <c r="C989" t="s">
        <v>11</v>
      </c>
      <c r="D989">
        <v>5.5424777514991717E-2</v>
      </c>
    </row>
    <row r="990" spans="1:4" x14ac:dyDescent="0.25">
      <c r="A990" t="s">
        <v>4</v>
      </c>
      <c r="B990" s="2">
        <v>39538</v>
      </c>
      <c r="C990" t="s">
        <v>11</v>
      </c>
      <c r="D990">
        <v>1.796088325631606E-3</v>
      </c>
    </row>
    <row r="991" spans="1:4" x14ac:dyDescent="0.25">
      <c r="A991" t="s">
        <v>4</v>
      </c>
      <c r="B991" s="2">
        <v>39629</v>
      </c>
      <c r="C991" t="s">
        <v>11</v>
      </c>
      <c r="D991">
        <v>1.131038378952853E-2</v>
      </c>
    </row>
    <row r="992" spans="1:4" x14ac:dyDescent="0.25">
      <c r="A992" t="s">
        <v>4</v>
      </c>
      <c r="B992" s="2">
        <v>39721</v>
      </c>
      <c r="C992" t="s">
        <v>11</v>
      </c>
      <c r="D992">
        <v>-1.3863195289261609E-2</v>
      </c>
    </row>
    <row r="993" spans="1:4" x14ac:dyDescent="0.25">
      <c r="A993" t="s">
        <v>4</v>
      </c>
      <c r="B993" s="2">
        <v>39813</v>
      </c>
      <c r="C993" t="s">
        <v>11</v>
      </c>
      <c r="D993">
        <v>-7.5950002221393254E-3</v>
      </c>
    </row>
    <row r="994" spans="1:4" x14ac:dyDescent="0.25">
      <c r="A994" t="s">
        <v>4</v>
      </c>
      <c r="B994" s="2">
        <v>39903</v>
      </c>
      <c r="C994" t="s">
        <v>11</v>
      </c>
      <c r="D994">
        <v>-7.3605097784318896E-3</v>
      </c>
    </row>
    <row r="995" spans="1:4" x14ac:dyDescent="0.25">
      <c r="A995" t="s">
        <v>4</v>
      </c>
      <c r="B995" s="2">
        <v>39994</v>
      </c>
      <c r="C995" t="s">
        <v>11</v>
      </c>
      <c r="D995">
        <v>6.2639832927710748E-2</v>
      </c>
    </row>
    <row r="996" spans="1:4" x14ac:dyDescent="0.25">
      <c r="A996" t="s">
        <v>4</v>
      </c>
      <c r="B996" s="2">
        <v>40086</v>
      </c>
      <c r="C996" t="s">
        <v>11</v>
      </c>
      <c r="D996">
        <v>-2.9629527479744341E-2</v>
      </c>
    </row>
    <row r="997" spans="1:4" x14ac:dyDescent="0.25">
      <c r="A997" t="s">
        <v>4</v>
      </c>
      <c r="B997" s="2">
        <v>40178</v>
      </c>
      <c r="C997" t="s">
        <v>11</v>
      </c>
      <c r="D997">
        <v>-6.0325986628583773E-2</v>
      </c>
    </row>
    <row r="998" spans="1:4" x14ac:dyDescent="0.25">
      <c r="A998" t="s">
        <v>4</v>
      </c>
      <c r="B998" s="2">
        <v>40268</v>
      </c>
      <c r="C998" t="s">
        <v>11</v>
      </c>
      <c r="D998">
        <v>-3.3042865847127151E-2</v>
      </c>
    </row>
    <row r="999" spans="1:4" x14ac:dyDescent="0.25">
      <c r="A999" t="s">
        <v>4</v>
      </c>
      <c r="B999" s="2">
        <v>40359</v>
      </c>
      <c r="C999" t="s">
        <v>11</v>
      </c>
      <c r="D999">
        <v>-1.96112210596017E-2</v>
      </c>
    </row>
    <row r="1000" spans="1:4" x14ac:dyDescent="0.25">
      <c r="A1000" t="s">
        <v>4</v>
      </c>
      <c r="B1000" s="2">
        <v>40451</v>
      </c>
      <c r="C1000" t="s">
        <v>11</v>
      </c>
      <c r="D1000">
        <v>2.3252362983088859E-3</v>
      </c>
    </row>
    <row r="1001" spans="1:4" x14ac:dyDescent="0.25">
      <c r="A1001" t="s">
        <v>4</v>
      </c>
      <c r="B1001" s="2">
        <v>40543</v>
      </c>
      <c r="C1001" t="s">
        <v>11</v>
      </c>
      <c r="D1001">
        <v>8.320721038656248E-3</v>
      </c>
    </row>
    <row r="1002" spans="1:4" x14ac:dyDescent="0.25">
      <c r="A1002" t="s">
        <v>4</v>
      </c>
      <c r="B1002" s="2">
        <v>40633</v>
      </c>
      <c r="C1002" t="s">
        <v>11</v>
      </c>
      <c r="D1002">
        <v>-3.9796413591835417E-2</v>
      </c>
    </row>
    <row r="1003" spans="1:4" x14ac:dyDescent="0.25">
      <c r="A1003" t="s">
        <v>4</v>
      </c>
      <c r="B1003" s="2">
        <v>40724</v>
      </c>
      <c r="C1003" t="s">
        <v>11</v>
      </c>
      <c r="D1003">
        <v>-1.6592582253716018E-2</v>
      </c>
    </row>
    <row r="1004" spans="1:4" x14ac:dyDescent="0.25">
      <c r="A1004" t="s">
        <v>4</v>
      </c>
      <c r="B1004" s="2">
        <v>40816</v>
      </c>
      <c r="C1004" t="s">
        <v>11</v>
      </c>
      <c r="D1004">
        <v>1.8861372951813889E-2</v>
      </c>
    </row>
    <row r="1005" spans="1:4" x14ac:dyDescent="0.25">
      <c r="A1005" t="s">
        <v>4</v>
      </c>
      <c r="B1005" s="2">
        <v>40908</v>
      </c>
      <c r="C1005" t="s">
        <v>11</v>
      </c>
      <c r="D1005">
        <v>-1.4993687085924769E-2</v>
      </c>
    </row>
    <row r="1006" spans="1:4" x14ac:dyDescent="0.25">
      <c r="A1006" t="s">
        <v>4</v>
      </c>
      <c r="B1006" s="2">
        <v>40999</v>
      </c>
      <c r="C1006" t="s">
        <v>11</v>
      </c>
      <c r="D1006">
        <v>3.3979457559571713E-2</v>
      </c>
    </row>
    <row r="1007" spans="1:4" x14ac:dyDescent="0.25">
      <c r="A1007" t="s">
        <v>4</v>
      </c>
      <c r="B1007" s="2">
        <v>41090</v>
      </c>
      <c r="C1007" t="s">
        <v>11</v>
      </c>
      <c r="D1007">
        <v>-4.3772783721451852E-2</v>
      </c>
    </row>
    <row r="1008" spans="1:4" x14ac:dyDescent="0.25">
      <c r="A1008" t="s">
        <v>4</v>
      </c>
      <c r="B1008" s="2">
        <v>41182</v>
      </c>
      <c r="C1008" t="s">
        <v>11</v>
      </c>
      <c r="D1008">
        <v>-1.344073062648374E-3</v>
      </c>
    </row>
    <row r="1009" spans="1:4" x14ac:dyDescent="0.25">
      <c r="A1009" t="s">
        <v>4</v>
      </c>
      <c r="B1009" s="2">
        <v>41274</v>
      </c>
      <c r="C1009" t="s">
        <v>11</v>
      </c>
      <c r="D1009">
        <v>3.1240802080853142E-3</v>
      </c>
    </row>
    <row r="1010" spans="1:4" x14ac:dyDescent="0.25">
      <c r="A1010" t="s">
        <v>4</v>
      </c>
      <c r="B1010" s="2">
        <v>41364</v>
      </c>
      <c r="C1010" t="s">
        <v>11</v>
      </c>
      <c r="D1010">
        <v>1.1176043015179689E-2</v>
      </c>
    </row>
    <row r="1011" spans="1:4" x14ac:dyDescent="0.25">
      <c r="A1011" t="s">
        <v>4</v>
      </c>
      <c r="B1011" s="2">
        <v>41455</v>
      </c>
      <c r="C1011" t="s">
        <v>11</v>
      </c>
      <c r="D1011">
        <v>-1.404726531688244E-2</v>
      </c>
    </row>
    <row r="1012" spans="1:4" x14ac:dyDescent="0.25">
      <c r="A1012" t="s">
        <v>4</v>
      </c>
      <c r="B1012" s="2">
        <v>41547</v>
      </c>
      <c r="C1012" t="s">
        <v>11</v>
      </c>
      <c r="D1012">
        <v>1.206990348950363E-2</v>
      </c>
    </row>
    <row r="1013" spans="1:4" x14ac:dyDescent="0.25">
      <c r="A1013" t="s">
        <v>4</v>
      </c>
      <c r="B1013" s="2">
        <v>41639</v>
      </c>
      <c r="C1013" t="s">
        <v>11</v>
      </c>
      <c r="D1013">
        <v>-1.6659683867930111E-2</v>
      </c>
    </row>
    <row r="1014" spans="1:4" x14ac:dyDescent="0.25">
      <c r="A1014" t="s">
        <v>4</v>
      </c>
      <c r="B1014" s="2">
        <v>41729</v>
      </c>
      <c r="C1014" t="s">
        <v>11</v>
      </c>
      <c r="D1014">
        <v>1.2784990432637281E-3</v>
      </c>
    </row>
    <row r="1015" spans="1:4" x14ac:dyDescent="0.25">
      <c r="A1015" t="s">
        <v>4</v>
      </c>
      <c r="B1015" s="2">
        <v>41820</v>
      </c>
      <c r="C1015" t="s">
        <v>11</v>
      </c>
      <c r="D1015">
        <v>3.0724784539128521E-2</v>
      </c>
    </row>
    <row r="1016" spans="1:4" x14ac:dyDescent="0.25">
      <c r="A1016" t="s">
        <v>4</v>
      </c>
      <c r="B1016" s="2">
        <v>41912</v>
      </c>
      <c r="C1016" t="s">
        <v>11</v>
      </c>
      <c r="D1016">
        <v>-1.345481846686347E-2</v>
      </c>
    </row>
    <row r="1017" spans="1:4" x14ac:dyDescent="0.25">
      <c r="A1017" t="s">
        <v>4</v>
      </c>
      <c r="B1017" s="2">
        <v>42004</v>
      </c>
      <c r="C1017" t="s">
        <v>11</v>
      </c>
      <c r="D1017">
        <v>-1.7492237537883652E-2</v>
      </c>
    </row>
    <row r="1018" spans="1:4" x14ac:dyDescent="0.25">
      <c r="A1018" t="s">
        <v>4</v>
      </c>
      <c r="B1018" s="2">
        <v>42094</v>
      </c>
      <c r="C1018" t="s">
        <v>11</v>
      </c>
      <c r="D1018">
        <v>1.95969675400578E-2</v>
      </c>
    </row>
    <row r="1019" spans="1:4" x14ac:dyDescent="0.25">
      <c r="A1019" t="s">
        <v>4</v>
      </c>
      <c r="B1019" s="2">
        <v>42185</v>
      </c>
      <c r="C1019" t="s">
        <v>11</v>
      </c>
      <c r="D1019">
        <v>-1.416084670452354E-2</v>
      </c>
    </row>
    <row r="1020" spans="1:4" x14ac:dyDescent="0.25">
      <c r="A1020" t="s">
        <v>4</v>
      </c>
      <c r="B1020" s="2">
        <v>42277</v>
      </c>
      <c r="C1020" t="s">
        <v>11</v>
      </c>
      <c r="D1020">
        <v>1.560523917620839E-2</v>
      </c>
    </row>
    <row r="1021" spans="1:4" x14ac:dyDescent="0.25">
      <c r="A1021" t="s">
        <v>4</v>
      </c>
      <c r="B1021" s="2">
        <v>42369</v>
      </c>
      <c r="C1021" t="s">
        <v>11</v>
      </c>
      <c r="D1021">
        <v>-2.3747701078757288E-2</v>
      </c>
    </row>
    <row r="1022" spans="1:4" x14ac:dyDescent="0.25">
      <c r="A1022" t="s">
        <v>4</v>
      </c>
      <c r="B1022" s="2">
        <v>42460</v>
      </c>
      <c r="C1022" t="s">
        <v>11</v>
      </c>
      <c r="D1022">
        <v>1.3656476380122099E-2</v>
      </c>
    </row>
    <row r="1023" spans="1:4" x14ac:dyDescent="0.25">
      <c r="A1023" t="s">
        <v>4</v>
      </c>
      <c r="B1023" s="2">
        <v>42551</v>
      </c>
      <c r="C1023" t="s">
        <v>11</v>
      </c>
      <c r="D1023">
        <v>-8.7861074688920238E-3</v>
      </c>
    </row>
    <row r="1024" spans="1:4" x14ac:dyDescent="0.25">
      <c r="A1024" t="s">
        <v>4</v>
      </c>
      <c r="B1024" s="2">
        <v>42643</v>
      </c>
      <c r="C1024" t="s">
        <v>11</v>
      </c>
      <c r="D1024">
        <v>2.1387645426094639E-2</v>
      </c>
    </row>
    <row r="1025" spans="1:4" x14ac:dyDescent="0.25">
      <c r="A1025" t="s">
        <v>4</v>
      </c>
      <c r="B1025" s="2">
        <v>42735</v>
      </c>
      <c r="C1025" t="s">
        <v>11</v>
      </c>
      <c r="D1025">
        <v>-9.7413561297479967E-3</v>
      </c>
    </row>
    <row r="1026" spans="1:4" x14ac:dyDescent="0.25">
      <c r="A1026" t="s">
        <v>4</v>
      </c>
      <c r="B1026" s="2">
        <v>42825</v>
      </c>
      <c r="C1026" t="s">
        <v>11</v>
      </c>
      <c r="D1026">
        <v>1.9820942186568661E-2</v>
      </c>
    </row>
    <row r="1027" spans="1:4" x14ac:dyDescent="0.25">
      <c r="A1027" t="s">
        <v>4</v>
      </c>
      <c r="B1027" s="2">
        <v>42916</v>
      </c>
      <c r="C1027" t="s">
        <v>11</v>
      </c>
      <c r="D1027">
        <v>-8.0433142964628224E-3</v>
      </c>
    </row>
    <row r="1028" spans="1:4" x14ac:dyDescent="0.25">
      <c r="A1028" t="s">
        <v>4</v>
      </c>
      <c r="B1028" s="2">
        <v>43008</v>
      </c>
      <c r="C1028" t="s">
        <v>11</v>
      </c>
      <c r="D1028">
        <v>4.4232632787163939E-3</v>
      </c>
    </row>
    <row r="1029" spans="1:4" x14ac:dyDescent="0.25">
      <c r="A1029" t="s">
        <v>4</v>
      </c>
      <c r="B1029" s="2">
        <v>43100</v>
      </c>
      <c r="C1029" t="s">
        <v>11</v>
      </c>
      <c r="D1029">
        <v>-9.9753350391584839E-5</v>
      </c>
    </row>
    <row r="1030" spans="1:4" x14ac:dyDescent="0.25">
      <c r="A1030" t="s">
        <v>4</v>
      </c>
      <c r="B1030" s="2">
        <v>43190</v>
      </c>
      <c r="C1030" t="s">
        <v>11</v>
      </c>
      <c r="D1030">
        <v>1.5626284091006439E-2</v>
      </c>
    </row>
    <row r="1031" spans="1:4" x14ac:dyDescent="0.25">
      <c r="A1031" t="s">
        <v>4</v>
      </c>
      <c r="B1031" s="2">
        <v>43281</v>
      </c>
      <c r="C1031" t="s">
        <v>11</v>
      </c>
      <c r="D1031">
        <v>-1.766587469800637E-2</v>
      </c>
    </row>
    <row r="1032" spans="1:4" x14ac:dyDescent="0.25">
      <c r="A1032" t="s">
        <v>4</v>
      </c>
      <c r="B1032" s="2">
        <v>43373</v>
      </c>
      <c r="C1032" t="s">
        <v>11</v>
      </c>
      <c r="D1032">
        <v>1.024023257966508E-2</v>
      </c>
    </row>
    <row r="1033" spans="1:4" x14ac:dyDescent="0.25">
      <c r="A1033" t="s">
        <v>4</v>
      </c>
      <c r="B1033" s="2">
        <v>43465</v>
      </c>
      <c r="C1033" t="s">
        <v>11</v>
      </c>
      <c r="D1033">
        <v>-1.0155549944353141E-2</v>
      </c>
    </row>
    <row r="1034" spans="1:4" x14ac:dyDescent="0.25">
      <c r="A1034" t="s">
        <v>4</v>
      </c>
      <c r="B1034" s="2">
        <v>43555</v>
      </c>
      <c r="C1034" t="s">
        <v>11</v>
      </c>
      <c r="D1034">
        <v>-6.0356056761431964E-4</v>
      </c>
    </row>
    <row r="1035" spans="1:4" x14ac:dyDescent="0.25">
      <c r="A1035" t="s">
        <v>4</v>
      </c>
      <c r="B1035" s="2">
        <v>43646</v>
      </c>
      <c r="C1035" t="s">
        <v>11</v>
      </c>
      <c r="D1035">
        <v>-3.0128182770719492E-3</v>
      </c>
    </row>
    <row r="1036" spans="1:4" x14ac:dyDescent="0.25">
      <c r="A1036" t="s">
        <v>4</v>
      </c>
      <c r="B1036" s="2">
        <v>43738</v>
      </c>
      <c r="C1036" t="s">
        <v>11</v>
      </c>
      <c r="D1036">
        <v>8.9578503515980457E-3</v>
      </c>
    </row>
    <row r="1037" spans="1:4" x14ac:dyDescent="0.25">
      <c r="A1037" t="s">
        <v>4</v>
      </c>
      <c r="B1037" s="2">
        <v>43830</v>
      </c>
      <c r="C1037" t="s">
        <v>11</v>
      </c>
      <c r="D1037">
        <v>5.0263763653099758E-3</v>
      </c>
    </row>
    <row r="1038" spans="1:4" x14ac:dyDescent="0.25">
      <c r="A1038" t="s">
        <v>4</v>
      </c>
      <c r="B1038" s="2">
        <v>43921</v>
      </c>
      <c r="C1038" t="s">
        <v>11</v>
      </c>
      <c r="D1038">
        <v>8.8779262408979709E-2</v>
      </c>
    </row>
    <row r="1039" spans="1:4" x14ac:dyDescent="0.25">
      <c r="A1039" t="s">
        <v>4</v>
      </c>
      <c r="B1039" s="2">
        <v>44012</v>
      </c>
      <c r="C1039" t="s">
        <v>11</v>
      </c>
      <c r="D1039">
        <v>3.0866583692975009E-3</v>
      </c>
    </row>
    <row r="1040" spans="1:4" x14ac:dyDescent="0.25">
      <c r="A1040" t="s">
        <v>4</v>
      </c>
      <c r="B1040" s="2">
        <v>44104</v>
      </c>
      <c r="C1040" t="s">
        <v>11</v>
      </c>
      <c r="D1040">
        <v>1.4107840563260921E-2</v>
      </c>
    </row>
    <row r="1041" spans="1:4" x14ac:dyDescent="0.25">
      <c r="A1041" t="s">
        <v>4</v>
      </c>
      <c r="B1041" s="2">
        <v>44196</v>
      </c>
      <c r="C1041" t="s">
        <v>11</v>
      </c>
      <c r="D1041">
        <v>-4.8847982068191687E-2</v>
      </c>
    </row>
    <row r="1042" spans="1:4" x14ac:dyDescent="0.25">
      <c r="A1042" t="s">
        <v>4</v>
      </c>
      <c r="B1042" s="2">
        <v>44286</v>
      </c>
      <c r="C1042" t="s">
        <v>11</v>
      </c>
      <c r="D1042">
        <v>2.1451288991093082E-2</v>
      </c>
    </row>
    <row r="1043" spans="1:4" x14ac:dyDescent="0.25">
      <c r="A1043" t="s">
        <v>4</v>
      </c>
      <c r="B1043" s="2">
        <v>44377</v>
      </c>
      <c r="C1043" t="s">
        <v>11</v>
      </c>
      <c r="D1043">
        <v>-2.730927857900381E-2</v>
      </c>
    </row>
    <row r="1044" spans="1:4" x14ac:dyDescent="0.25">
      <c r="A1044" t="s">
        <v>4</v>
      </c>
      <c r="B1044" s="2">
        <v>44469</v>
      </c>
      <c r="C1044" t="s">
        <v>11</v>
      </c>
      <c r="D1044">
        <v>-3.8328624075019607E-2</v>
      </c>
    </row>
    <row r="1045" spans="1:4" x14ac:dyDescent="0.25">
      <c r="A1045" t="s">
        <v>4</v>
      </c>
      <c r="B1045" s="2">
        <v>44561</v>
      </c>
      <c r="C1045" t="s">
        <v>11</v>
      </c>
      <c r="D1045">
        <v>-4.5073199405690212E-4</v>
      </c>
    </row>
    <row r="1046" spans="1:4" x14ac:dyDescent="0.25">
      <c r="A1046" t="s">
        <v>4</v>
      </c>
      <c r="B1046" s="2">
        <v>44651</v>
      </c>
      <c r="C1046" t="s">
        <v>11</v>
      </c>
      <c r="D1046">
        <v>-1.335031925214447E-2</v>
      </c>
    </row>
    <row r="1047" spans="1:4" x14ac:dyDescent="0.25">
      <c r="A1047" t="s">
        <v>4</v>
      </c>
      <c r="B1047" s="2">
        <v>44742</v>
      </c>
      <c r="C1047" t="s">
        <v>11</v>
      </c>
      <c r="D1047">
        <v>-3.7426932314697792E-3</v>
      </c>
    </row>
    <row r="1048" spans="1:4" x14ac:dyDescent="0.25">
      <c r="A1048" t="s">
        <v>4</v>
      </c>
      <c r="B1048" s="2">
        <v>44834</v>
      </c>
      <c r="C1048" t="s">
        <v>11</v>
      </c>
      <c r="D1048">
        <v>-1.4009038133651289E-2</v>
      </c>
    </row>
    <row r="1049" spans="1:4" x14ac:dyDescent="0.25">
      <c r="A1049" t="s">
        <v>4</v>
      </c>
      <c r="B1049" s="2">
        <v>44926</v>
      </c>
      <c r="C1049" t="s">
        <v>11</v>
      </c>
      <c r="D1049">
        <v>-1.4066540176875159E-2</v>
      </c>
    </row>
    <row r="1050" spans="1:4" x14ac:dyDescent="0.25">
      <c r="A1050" t="s">
        <v>4</v>
      </c>
      <c r="B1050" s="2">
        <v>45016</v>
      </c>
      <c r="C1050" t="s">
        <v>11</v>
      </c>
      <c r="D1050">
        <v>1.2063875824092211E-3</v>
      </c>
    </row>
    <row r="1051" spans="1:4" x14ac:dyDescent="0.25">
      <c r="A1051" t="s">
        <v>4</v>
      </c>
      <c r="B1051" s="2">
        <v>45107</v>
      </c>
      <c r="C1051" t="s">
        <v>11</v>
      </c>
      <c r="D1051">
        <v>6.4854576069917069E-5</v>
      </c>
    </row>
    <row r="1052" spans="1:4" x14ac:dyDescent="0.25">
      <c r="A1052" t="s">
        <v>4</v>
      </c>
      <c r="B1052" s="2">
        <v>45199</v>
      </c>
      <c r="C1052" t="s">
        <v>11</v>
      </c>
      <c r="D1052">
        <v>3.7938371345828108E-2</v>
      </c>
    </row>
    <row r="1053" spans="1:4" x14ac:dyDescent="0.25">
      <c r="A1053" t="s">
        <v>4</v>
      </c>
      <c r="B1053" s="2">
        <v>45291</v>
      </c>
      <c r="C1053" t="s">
        <v>11</v>
      </c>
      <c r="D1053">
        <v>-1.8866737496834481E-2</v>
      </c>
    </row>
    <row r="1054" spans="1:4" x14ac:dyDescent="0.25">
      <c r="A1054" t="s">
        <v>4</v>
      </c>
      <c r="B1054" s="2">
        <v>45382</v>
      </c>
      <c r="C1054" t="s">
        <v>11</v>
      </c>
      <c r="D1054">
        <v>4.5186676567289058E-2</v>
      </c>
    </row>
    <row r="1055" spans="1:4" x14ac:dyDescent="0.25">
      <c r="A1055" t="s">
        <v>4</v>
      </c>
      <c r="B1055" s="2">
        <v>45473</v>
      </c>
      <c r="C1055" t="s">
        <v>11</v>
      </c>
      <c r="D1055">
        <v>-7.331134211029211E-3</v>
      </c>
    </row>
    <row r="1056" spans="1:4" x14ac:dyDescent="0.25">
      <c r="A1056" t="s">
        <v>4</v>
      </c>
      <c r="B1056" s="2">
        <v>45565</v>
      </c>
      <c r="C1056" t="s">
        <v>11</v>
      </c>
      <c r="D1056">
        <v>2.481159353826506E-3</v>
      </c>
    </row>
    <row r="1057" spans="1:4" x14ac:dyDescent="0.25">
      <c r="A1057" t="s">
        <v>4</v>
      </c>
      <c r="B1057" s="2">
        <v>45657</v>
      </c>
      <c r="C1057" t="s">
        <v>11</v>
      </c>
      <c r="D1057">
        <v>-3.1751916382433298E-2</v>
      </c>
    </row>
    <row r="1058" spans="1:4" x14ac:dyDescent="0.25">
      <c r="A1058" t="s">
        <v>5</v>
      </c>
      <c r="B1058" s="2">
        <v>36981</v>
      </c>
      <c r="C1058" t="s">
        <v>11</v>
      </c>
    </row>
    <row r="1059" spans="1:4" x14ac:dyDescent="0.25">
      <c r="A1059" t="s">
        <v>5</v>
      </c>
      <c r="B1059" s="2">
        <v>37072</v>
      </c>
      <c r="C1059" t="s">
        <v>11</v>
      </c>
      <c r="D1059">
        <v>7.7883164252268905E-2</v>
      </c>
    </row>
    <row r="1060" spans="1:4" x14ac:dyDescent="0.25">
      <c r="A1060" t="s">
        <v>5</v>
      </c>
      <c r="B1060" s="2">
        <v>37164</v>
      </c>
      <c r="C1060" t="s">
        <v>11</v>
      </c>
      <c r="D1060">
        <v>-0.114961625665187</v>
      </c>
    </row>
    <row r="1061" spans="1:4" x14ac:dyDescent="0.25">
      <c r="A1061" t="s">
        <v>5</v>
      </c>
      <c r="B1061" s="2">
        <v>37256</v>
      </c>
      <c r="C1061" t="s">
        <v>11</v>
      </c>
      <c r="D1061">
        <v>-1.9789791528087769E-2</v>
      </c>
    </row>
    <row r="1062" spans="1:4" x14ac:dyDescent="0.25">
      <c r="A1062" t="s">
        <v>5</v>
      </c>
      <c r="B1062" s="2">
        <v>37346</v>
      </c>
      <c r="C1062" t="s">
        <v>11</v>
      </c>
      <c r="D1062">
        <v>4.2596057198324898E-2</v>
      </c>
    </row>
    <row r="1063" spans="1:4" x14ac:dyDescent="0.25">
      <c r="A1063" t="s">
        <v>5</v>
      </c>
      <c r="B1063" s="2">
        <v>37437</v>
      </c>
      <c r="C1063" t="s">
        <v>11</v>
      </c>
      <c r="D1063">
        <v>4.2300304444646284E-3</v>
      </c>
    </row>
    <row r="1064" spans="1:4" x14ac:dyDescent="0.25">
      <c r="A1064" t="s">
        <v>5</v>
      </c>
      <c r="B1064" s="2">
        <v>37529</v>
      </c>
      <c r="C1064" t="s">
        <v>11</v>
      </c>
      <c r="D1064">
        <v>-4.23572455274496E-2</v>
      </c>
    </row>
    <row r="1065" spans="1:4" x14ac:dyDescent="0.25">
      <c r="A1065" t="s">
        <v>5</v>
      </c>
      <c r="B1065" s="2">
        <v>37621</v>
      </c>
      <c r="C1065" t="s">
        <v>11</v>
      </c>
      <c r="D1065">
        <v>-2.206664206871924E-2</v>
      </c>
    </row>
    <row r="1066" spans="1:4" x14ac:dyDescent="0.25">
      <c r="A1066" t="s">
        <v>5</v>
      </c>
      <c r="B1066" s="2">
        <v>37711</v>
      </c>
      <c r="C1066" t="s">
        <v>11</v>
      </c>
      <c r="D1066">
        <v>3.2994714659144622E-2</v>
      </c>
    </row>
    <row r="1067" spans="1:4" x14ac:dyDescent="0.25">
      <c r="A1067" t="s">
        <v>5</v>
      </c>
      <c r="B1067" s="2">
        <v>37802</v>
      </c>
      <c r="C1067" t="s">
        <v>11</v>
      </c>
      <c r="D1067">
        <v>0.1165783520514988</v>
      </c>
    </row>
    <row r="1068" spans="1:4" x14ac:dyDescent="0.25">
      <c r="A1068" t="s">
        <v>5</v>
      </c>
      <c r="B1068" s="2">
        <v>37894</v>
      </c>
      <c r="C1068" t="s">
        <v>11</v>
      </c>
      <c r="D1068">
        <v>-0.13335064374447261</v>
      </c>
    </row>
    <row r="1069" spans="1:4" x14ac:dyDescent="0.25">
      <c r="A1069" t="s">
        <v>5</v>
      </c>
      <c r="B1069" s="2">
        <v>37986</v>
      </c>
      <c r="C1069" t="s">
        <v>11</v>
      </c>
      <c r="D1069">
        <v>6.412778725264251E-2</v>
      </c>
    </row>
    <row r="1070" spans="1:4" x14ac:dyDescent="0.25">
      <c r="A1070" t="s">
        <v>5</v>
      </c>
      <c r="B1070" s="2">
        <v>38077</v>
      </c>
      <c r="C1070" t="s">
        <v>11</v>
      </c>
      <c r="D1070">
        <v>0.1220833101366148</v>
      </c>
    </row>
    <row r="1071" spans="1:4" x14ac:dyDescent="0.25">
      <c r="A1071" t="s">
        <v>5</v>
      </c>
      <c r="B1071" s="2">
        <v>38168</v>
      </c>
      <c r="C1071" t="s">
        <v>11</v>
      </c>
      <c r="D1071">
        <v>-8.749798193660005E-2</v>
      </c>
    </row>
    <row r="1072" spans="1:4" x14ac:dyDescent="0.25">
      <c r="A1072" t="s">
        <v>5</v>
      </c>
      <c r="B1072" s="2">
        <v>38260</v>
      </c>
      <c r="C1072" t="s">
        <v>11</v>
      </c>
      <c r="D1072">
        <v>-3.4382236645639441E-2</v>
      </c>
    </row>
    <row r="1073" spans="1:4" x14ac:dyDescent="0.25">
      <c r="A1073" t="s">
        <v>5</v>
      </c>
      <c r="B1073" s="2">
        <v>38352</v>
      </c>
      <c r="C1073" t="s">
        <v>11</v>
      </c>
      <c r="D1073">
        <v>1.1093779596946679E-2</v>
      </c>
    </row>
    <row r="1074" spans="1:4" x14ac:dyDescent="0.25">
      <c r="A1074" t="s">
        <v>5</v>
      </c>
      <c r="B1074" s="2">
        <v>38442</v>
      </c>
      <c r="C1074" t="s">
        <v>11</v>
      </c>
      <c r="D1074">
        <v>-2.2226445260090929E-2</v>
      </c>
    </row>
    <row r="1075" spans="1:4" x14ac:dyDescent="0.25">
      <c r="A1075" t="s">
        <v>5</v>
      </c>
      <c r="B1075" s="2">
        <v>38533</v>
      </c>
      <c r="C1075" t="s">
        <v>11</v>
      </c>
      <c r="D1075">
        <v>4.5102871719958942E-2</v>
      </c>
    </row>
    <row r="1076" spans="1:4" x14ac:dyDescent="0.25">
      <c r="A1076" t="s">
        <v>5</v>
      </c>
      <c r="B1076" s="2">
        <v>38625</v>
      </c>
      <c r="C1076" t="s">
        <v>11</v>
      </c>
      <c r="D1076">
        <v>8.8864068455758949E-2</v>
      </c>
    </row>
    <row r="1077" spans="1:4" x14ac:dyDescent="0.25">
      <c r="A1077" t="s">
        <v>5</v>
      </c>
      <c r="B1077" s="2">
        <v>38717</v>
      </c>
      <c r="C1077" t="s">
        <v>11</v>
      </c>
      <c r="D1077">
        <v>-0.1243291628406062</v>
      </c>
    </row>
    <row r="1078" spans="1:4" x14ac:dyDescent="0.25">
      <c r="A1078" t="s">
        <v>5</v>
      </c>
      <c r="B1078" s="2">
        <v>38807</v>
      </c>
      <c r="C1078" t="s">
        <v>11</v>
      </c>
      <c r="D1078">
        <v>0.11453015837010069</v>
      </c>
    </row>
    <row r="1079" spans="1:4" x14ac:dyDescent="0.25">
      <c r="A1079" t="s">
        <v>5</v>
      </c>
      <c r="B1079" s="2">
        <v>38898</v>
      </c>
      <c r="C1079" t="s">
        <v>11</v>
      </c>
      <c r="D1079">
        <v>0.29136367532392887</v>
      </c>
    </row>
    <row r="1080" spans="1:4" x14ac:dyDescent="0.25">
      <c r="A1080" t="s">
        <v>5</v>
      </c>
      <c r="B1080" s="2">
        <v>38990</v>
      </c>
      <c r="C1080" t="s">
        <v>11</v>
      </c>
      <c r="D1080">
        <v>-0.2228487066634946</v>
      </c>
    </row>
    <row r="1081" spans="1:4" x14ac:dyDescent="0.25">
      <c r="A1081" t="s">
        <v>5</v>
      </c>
      <c r="B1081" s="2">
        <v>39082</v>
      </c>
      <c r="C1081" t="s">
        <v>11</v>
      </c>
      <c r="D1081">
        <v>-2.4508580914297921E-2</v>
      </c>
    </row>
    <row r="1082" spans="1:4" x14ac:dyDescent="0.25">
      <c r="A1082" t="s">
        <v>5</v>
      </c>
      <c r="B1082" s="2">
        <v>39172</v>
      </c>
      <c r="C1082" t="s">
        <v>11</v>
      </c>
      <c r="D1082">
        <v>0.22528346916633751</v>
      </c>
    </row>
    <row r="1083" spans="1:4" x14ac:dyDescent="0.25">
      <c r="A1083" t="s">
        <v>5</v>
      </c>
      <c r="B1083" s="2">
        <v>39263</v>
      </c>
      <c r="C1083" t="s">
        <v>11</v>
      </c>
      <c r="D1083">
        <v>0.38938716012137992</v>
      </c>
    </row>
    <row r="1084" spans="1:4" x14ac:dyDescent="0.25">
      <c r="A1084" t="s">
        <v>5</v>
      </c>
      <c r="B1084" s="2">
        <v>39355</v>
      </c>
      <c r="C1084" t="s">
        <v>11</v>
      </c>
      <c r="D1084">
        <v>-0.44615517636076768</v>
      </c>
    </row>
    <row r="1085" spans="1:4" x14ac:dyDescent="0.25">
      <c r="A1085" t="s">
        <v>5</v>
      </c>
      <c r="B1085" s="2">
        <v>39447</v>
      </c>
      <c r="C1085" t="s">
        <v>11</v>
      </c>
      <c r="D1085">
        <v>-0.25602999135139132</v>
      </c>
    </row>
    <row r="1086" spans="1:4" x14ac:dyDescent="0.25">
      <c r="A1086" t="s">
        <v>5</v>
      </c>
      <c r="B1086" s="2">
        <v>39538</v>
      </c>
      <c r="C1086" t="s">
        <v>11</v>
      </c>
      <c r="D1086">
        <v>0.150830557836683</v>
      </c>
    </row>
    <row r="1087" spans="1:4" x14ac:dyDescent="0.25">
      <c r="A1087" t="s">
        <v>5</v>
      </c>
      <c r="B1087" s="2">
        <v>39629</v>
      </c>
      <c r="C1087" t="s">
        <v>11</v>
      </c>
      <c r="D1087">
        <v>-1.302894097598334E-2</v>
      </c>
    </row>
    <row r="1088" spans="1:4" x14ac:dyDescent="0.25">
      <c r="A1088" t="s">
        <v>5</v>
      </c>
      <c r="B1088" s="2">
        <v>39721</v>
      </c>
      <c r="C1088" t="s">
        <v>11</v>
      </c>
      <c r="D1088">
        <v>-9.7237020261473295E-2</v>
      </c>
    </row>
    <row r="1089" spans="1:4" x14ac:dyDescent="0.25">
      <c r="A1089" t="s">
        <v>5</v>
      </c>
      <c r="B1089" s="2">
        <v>39813</v>
      </c>
      <c r="C1089" t="s">
        <v>11</v>
      </c>
      <c r="D1089">
        <v>0.1045824392348662</v>
      </c>
    </row>
    <row r="1090" spans="1:4" x14ac:dyDescent="0.25">
      <c r="A1090" t="s">
        <v>5</v>
      </c>
      <c r="B1090" s="2">
        <v>39903</v>
      </c>
      <c r="C1090" t="s">
        <v>11</v>
      </c>
      <c r="D1090">
        <v>0.1554597449286296</v>
      </c>
    </row>
    <row r="1091" spans="1:4" x14ac:dyDescent="0.25">
      <c r="A1091" t="s">
        <v>5</v>
      </c>
      <c r="B1091" s="2">
        <v>39994</v>
      </c>
      <c r="C1091" t="s">
        <v>11</v>
      </c>
      <c r="D1091">
        <v>6.5442989454895684E-2</v>
      </c>
    </row>
    <row r="1092" spans="1:4" x14ac:dyDescent="0.25">
      <c r="A1092" t="s">
        <v>5</v>
      </c>
      <c r="B1092" s="2">
        <v>40086</v>
      </c>
      <c r="C1092" t="s">
        <v>11</v>
      </c>
      <c r="D1092">
        <v>0.20084068770398819</v>
      </c>
    </row>
    <row r="1093" spans="1:4" x14ac:dyDescent="0.25">
      <c r="A1093" t="s">
        <v>5</v>
      </c>
      <c r="B1093" s="2">
        <v>40178</v>
      </c>
      <c r="C1093" t="s">
        <v>11</v>
      </c>
      <c r="D1093">
        <v>-0.23207547247234089</v>
      </c>
    </row>
    <row r="1094" spans="1:4" x14ac:dyDescent="0.25">
      <c r="A1094" t="s">
        <v>5</v>
      </c>
      <c r="B1094" s="2">
        <v>40268</v>
      </c>
      <c r="C1094" t="s">
        <v>11</v>
      </c>
      <c r="D1094">
        <v>-0.13372722244561541</v>
      </c>
    </row>
    <row r="1095" spans="1:4" x14ac:dyDescent="0.25">
      <c r="A1095" t="s">
        <v>5</v>
      </c>
      <c r="B1095" s="2">
        <v>40359</v>
      </c>
      <c r="C1095" t="s">
        <v>11</v>
      </c>
      <c r="D1095">
        <v>8.9137126359450536E-2</v>
      </c>
    </row>
    <row r="1096" spans="1:4" x14ac:dyDescent="0.25">
      <c r="A1096" t="s">
        <v>5</v>
      </c>
      <c r="B1096" s="2">
        <v>40451</v>
      </c>
      <c r="C1096" t="s">
        <v>11</v>
      </c>
      <c r="D1096">
        <v>-4.3556402607652922E-2</v>
      </c>
    </row>
    <row r="1097" spans="1:4" x14ac:dyDescent="0.25">
      <c r="A1097" t="s">
        <v>5</v>
      </c>
      <c r="B1097" s="2">
        <v>40543</v>
      </c>
      <c r="C1097" t="s">
        <v>11</v>
      </c>
      <c r="D1097">
        <v>0.2140120847243091</v>
      </c>
    </row>
    <row r="1098" spans="1:4" x14ac:dyDescent="0.25">
      <c r="A1098" t="s">
        <v>5</v>
      </c>
      <c r="B1098" s="2">
        <v>40633</v>
      </c>
      <c r="C1098" t="s">
        <v>11</v>
      </c>
      <c r="D1098">
        <v>-0.2459831933551225</v>
      </c>
    </row>
    <row r="1099" spans="1:4" x14ac:dyDescent="0.25">
      <c r="A1099" t="s">
        <v>5</v>
      </c>
      <c r="B1099" s="2">
        <v>40724</v>
      </c>
      <c r="C1099" t="s">
        <v>11</v>
      </c>
      <c r="D1099">
        <v>-6.6559845557564556E-2</v>
      </c>
    </row>
    <row r="1100" spans="1:4" x14ac:dyDescent="0.25">
      <c r="A1100" t="s">
        <v>5</v>
      </c>
      <c r="B1100" s="2">
        <v>40816</v>
      </c>
      <c r="C1100" t="s">
        <v>11</v>
      </c>
      <c r="D1100">
        <v>1.656278141634265E-2</v>
      </c>
    </row>
    <row r="1101" spans="1:4" x14ac:dyDescent="0.25">
      <c r="A1101" t="s">
        <v>5</v>
      </c>
      <c r="B1101" s="2">
        <v>40908</v>
      </c>
      <c r="C1101" t="s">
        <v>11</v>
      </c>
      <c r="D1101">
        <v>-9.7060960462035384E-2</v>
      </c>
    </row>
    <row r="1102" spans="1:4" x14ac:dyDescent="0.25">
      <c r="A1102" t="s">
        <v>5</v>
      </c>
      <c r="B1102" s="2">
        <v>40999</v>
      </c>
      <c r="C1102" t="s">
        <v>11</v>
      </c>
      <c r="D1102">
        <v>5.4646595726608238E-2</v>
      </c>
    </row>
    <row r="1103" spans="1:4" x14ac:dyDescent="0.25">
      <c r="A1103" t="s">
        <v>5</v>
      </c>
      <c r="B1103" s="2">
        <v>41090</v>
      </c>
      <c r="C1103" t="s">
        <v>11</v>
      </c>
      <c r="D1103">
        <v>-1.542447787736018E-2</v>
      </c>
    </row>
    <row r="1104" spans="1:4" x14ac:dyDescent="0.25">
      <c r="A1104" t="s">
        <v>5</v>
      </c>
      <c r="B1104" s="2">
        <v>41182</v>
      </c>
      <c r="C1104" t="s">
        <v>11</v>
      </c>
      <c r="D1104">
        <v>-4.2672976234170878E-2</v>
      </c>
    </row>
    <row r="1105" spans="1:4" x14ac:dyDescent="0.25">
      <c r="A1105" t="s">
        <v>5</v>
      </c>
      <c r="B1105" s="2">
        <v>41274</v>
      </c>
      <c r="C1105" t="s">
        <v>11</v>
      </c>
      <c r="D1105">
        <v>-4.4527140763122031E-2</v>
      </c>
    </row>
    <row r="1106" spans="1:4" x14ac:dyDescent="0.25">
      <c r="A1106" t="s">
        <v>5</v>
      </c>
      <c r="B1106" s="2">
        <v>41364</v>
      </c>
      <c r="C1106" t="s">
        <v>11</v>
      </c>
      <c r="D1106">
        <v>0.18726598401024749</v>
      </c>
    </row>
    <row r="1107" spans="1:4" x14ac:dyDescent="0.25">
      <c r="A1107" t="s">
        <v>5</v>
      </c>
      <c r="B1107" s="2">
        <v>41455</v>
      </c>
      <c r="C1107" t="s">
        <v>11</v>
      </c>
      <c r="D1107">
        <v>-1.3500147327457249E-2</v>
      </c>
    </row>
    <row r="1108" spans="1:4" x14ac:dyDescent="0.25">
      <c r="A1108" t="s">
        <v>5</v>
      </c>
      <c r="B1108" s="2">
        <v>41547</v>
      </c>
      <c r="C1108" t="s">
        <v>11</v>
      </c>
      <c r="D1108">
        <v>8.7397089013375617E-2</v>
      </c>
    </row>
    <row r="1109" spans="1:4" x14ac:dyDescent="0.25">
      <c r="A1109" t="s">
        <v>5</v>
      </c>
      <c r="B1109" s="2">
        <v>41639</v>
      </c>
      <c r="C1109" t="s">
        <v>11</v>
      </c>
      <c r="D1109">
        <v>-3.8357947231537182E-2</v>
      </c>
    </row>
    <row r="1110" spans="1:4" x14ac:dyDescent="0.25">
      <c r="A1110" t="s">
        <v>5</v>
      </c>
      <c r="B1110" s="2">
        <v>41729</v>
      </c>
      <c r="C1110" t="s">
        <v>11</v>
      </c>
      <c r="D1110">
        <v>3.5837016910944541E-4</v>
      </c>
    </row>
    <row r="1111" spans="1:4" x14ac:dyDescent="0.25">
      <c r="A1111" t="s">
        <v>5</v>
      </c>
      <c r="B1111" s="2">
        <v>41820</v>
      </c>
      <c r="C1111" t="s">
        <v>11</v>
      </c>
      <c r="D1111">
        <v>-0.12694564779432119</v>
      </c>
    </row>
    <row r="1112" spans="1:4" x14ac:dyDescent="0.25">
      <c r="A1112" t="s">
        <v>5</v>
      </c>
      <c r="B1112" s="2">
        <v>41912</v>
      </c>
      <c r="C1112" t="s">
        <v>11</v>
      </c>
      <c r="D1112">
        <v>0.26142359189732539</v>
      </c>
    </row>
    <row r="1113" spans="1:4" x14ac:dyDescent="0.25">
      <c r="A1113" t="s">
        <v>5</v>
      </c>
      <c r="B1113" s="2">
        <v>42004</v>
      </c>
      <c r="C1113" t="s">
        <v>11</v>
      </c>
      <c r="D1113">
        <v>0.25040503909328948</v>
      </c>
    </row>
    <row r="1114" spans="1:4" x14ac:dyDescent="0.25">
      <c r="A1114" t="s">
        <v>5</v>
      </c>
      <c r="B1114" s="2">
        <v>42094</v>
      </c>
      <c r="C1114" t="s">
        <v>11</v>
      </c>
      <c r="D1114">
        <v>-3.5172636240448529E-2</v>
      </c>
    </row>
    <row r="1115" spans="1:4" x14ac:dyDescent="0.25">
      <c r="A1115" t="s">
        <v>5</v>
      </c>
      <c r="B1115" s="2">
        <v>42185</v>
      </c>
      <c r="C1115" t="s">
        <v>11</v>
      </c>
      <c r="D1115">
        <v>0.8138861163998824</v>
      </c>
    </row>
    <row r="1116" spans="1:4" x14ac:dyDescent="0.25">
      <c r="A1116" t="s">
        <v>5</v>
      </c>
      <c r="B1116" s="2">
        <v>42277</v>
      </c>
      <c r="C1116" t="s">
        <v>11</v>
      </c>
      <c r="D1116">
        <v>-0.24175238038360661</v>
      </c>
    </row>
    <row r="1117" spans="1:4" x14ac:dyDescent="0.25">
      <c r="A1117" t="s">
        <v>5</v>
      </c>
      <c r="B1117" s="2">
        <v>42369</v>
      </c>
      <c r="C1117" t="s">
        <v>11</v>
      </c>
      <c r="D1117">
        <v>-0.3892830940513885</v>
      </c>
    </row>
    <row r="1118" spans="1:4" x14ac:dyDescent="0.25">
      <c r="A1118" t="s">
        <v>5</v>
      </c>
      <c r="B1118" s="2">
        <v>42460</v>
      </c>
      <c r="C1118" t="s">
        <v>11</v>
      </c>
      <c r="D1118">
        <v>-0.34150997932335481</v>
      </c>
    </row>
    <row r="1119" spans="1:4" x14ac:dyDescent="0.25">
      <c r="A1119" t="s">
        <v>5</v>
      </c>
      <c r="B1119" s="2">
        <v>42551</v>
      </c>
      <c r="C1119" t="s">
        <v>11</v>
      </c>
      <c r="D1119">
        <v>-1.4684967529001719E-2</v>
      </c>
    </row>
    <row r="1120" spans="1:4" x14ac:dyDescent="0.25">
      <c r="A1120" t="s">
        <v>5</v>
      </c>
      <c r="B1120" s="2">
        <v>42643</v>
      </c>
      <c r="C1120" t="s">
        <v>11</v>
      </c>
      <c r="D1120">
        <v>-2.7113585428427341E-2</v>
      </c>
    </row>
    <row r="1121" spans="1:4" x14ac:dyDescent="0.25">
      <c r="A1121" t="s">
        <v>5</v>
      </c>
      <c r="B1121" s="2">
        <v>42735</v>
      </c>
      <c r="C1121" t="s">
        <v>11</v>
      </c>
      <c r="D1121">
        <v>-4.8101430936564833E-2</v>
      </c>
    </row>
    <row r="1122" spans="1:4" x14ac:dyDescent="0.25">
      <c r="A1122" t="s">
        <v>5</v>
      </c>
      <c r="B1122" s="2">
        <v>42825</v>
      </c>
      <c r="C1122" t="s">
        <v>11</v>
      </c>
      <c r="D1122">
        <v>-0.12546792226569661</v>
      </c>
    </row>
    <row r="1123" spans="1:4" x14ac:dyDescent="0.25">
      <c r="A1123" t="s">
        <v>5</v>
      </c>
      <c r="B1123" s="2">
        <v>42916</v>
      </c>
      <c r="C1123" t="s">
        <v>11</v>
      </c>
      <c r="D1123">
        <v>-6.9896524747276589E-3</v>
      </c>
    </row>
    <row r="1124" spans="1:4" x14ac:dyDescent="0.25">
      <c r="A1124" t="s">
        <v>5</v>
      </c>
      <c r="B1124" s="2">
        <v>43008</v>
      </c>
      <c r="C1124" t="s">
        <v>11</v>
      </c>
      <c r="D1124">
        <v>9.6873294892062645E-2</v>
      </c>
    </row>
    <row r="1125" spans="1:4" x14ac:dyDescent="0.25">
      <c r="A1125" t="s">
        <v>5</v>
      </c>
      <c r="B1125" s="2">
        <v>43100</v>
      </c>
      <c r="C1125" t="s">
        <v>11</v>
      </c>
      <c r="D1125">
        <v>-0.10109597141740941</v>
      </c>
    </row>
    <row r="1126" spans="1:4" x14ac:dyDescent="0.25">
      <c r="A1126" t="s">
        <v>5</v>
      </c>
      <c r="B1126" s="2">
        <v>43190</v>
      </c>
      <c r="C1126" t="s">
        <v>11</v>
      </c>
      <c r="D1126">
        <v>2.522808775753255E-2</v>
      </c>
    </row>
    <row r="1127" spans="1:4" x14ac:dyDescent="0.25">
      <c r="A1127" t="s">
        <v>5</v>
      </c>
      <c r="B1127" s="2">
        <v>43281</v>
      </c>
      <c r="C1127" t="s">
        <v>11</v>
      </c>
      <c r="D1127">
        <v>-2.478456662277961E-2</v>
      </c>
    </row>
    <row r="1128" spans="1:4" x14ac:dyDescent="0.25">
      <c r="A1128" t="s">
        <v>5</v>
      </c>
      <c r="B1128" s="2">
        <v>43373</v>
      </c>
      <c r="C1128" t="s">
        <v>11</v>
      </c>
      <c r="D1128">
        <v>-8.3239839622271883E-2</v>
      </c>
    </row>
    <row r="1129" spans="1:4" x14ac:dyDescent="0.25">
      <c r="A1129" t="s">
        <v>5</v>
      </c>
      <c r="B1129" s="2">
        <v>43465</v>
      </c>
      <c r="C1129" t="s">
        <v>11</v>
      </c>
      <c r="D1129">
        <v>2.491957523437122E-2</v>
      </c>
    </row>
    <row r="1130" spans="1:4" x14ac:dyDescent="0.25">
      <c r="A1130" t="s">
        <v>5</v>
      </c>
      <c r="B1130" s="2">
        <v>43555</v>
      </c>
      <c r="C1130" t="s">
        <v>11</v>
      </c>
      <c r="D1130">
        <v>0.18324168488129469</v>
      </c>
    </row>
    <row r="1131" spans="1:4" x14ac:dyDescent="0.25">
      <c r="A1131" t="s">
        <v>5</v>
      </c>
      <c r="B1131" s="2">
        <v>43646</v>
      </c>
      <c r="C1131" t="s">
        <v>11</v>
      </c>
      <c r="D1131">
        <v>5.5744071802252049E-2</v>
      </c>
    </row>
    <row r="1132" spans="1:4" x14ac:dyDescent="0.25">
      <c r="A1132" t="s">
        <v>5</v>
      </c>
      <c r="B1132" s="2">
        <v>43738</v>
      </c>
      <c r="C1132" t="s">
        <v>11</v>
      </c>
      <c r="D1132">
        <v>-0.1051088453784164</v>
      </c>
    </row>
    <row r="1133" spans="1:4" x14ac:dyDescent="0.25">
      <c r="A1133" t="s">
        <v>5</v>
      </c>
      <c r="B1133" s="2">
        <v>43830</v>
      </c>
      <c r="C1133" t="s">
        <v>11</v>
      </c>
      <c r="D1133">
        <v>-9.2716786702656651E-2</v>
      </c>
    </row>
    <row r="1134" spans="1:4" x14ac:dyDescent="0.25">
      <c r="A1134" t="s">
        <v>5</v>
      </c>
      <c r="B1134" s="2">
        <v>43921</v>
      </c>
      <c r="C1134" t="s">
        <v>11</v>
      </c>
      <c r="D1134">
        <v>0.42453914306976281</v>
      </c>
    </row>
    <row r="1135" spans="1:4" x14ac:dyDescent="0.25">
      <c r="A1135" t="s">
        <v>5</v>
      </c>
      <c r="B1135" s="2">
        <v>44012</v>
      </c>
      <c r="C1135" t="s">
        <v>11</v>
      </c>
      <c r="D1135">
        <v>-0.2879112648214539</v>
      </c>
    </row>
    <row r="1136" spans="1:4" x14ac:dyDescent="0.25">
      <c r="A1136" t="s">
        <v>5</v>
      </c>
      <c r="B1136" s="2">
        <v>44104</v>
      </c>
      <c r="C1136" t="s">
        <v>11</v>
      </c>
      <c r="D1136">
        <v>0.36229917263469991</v>
      </c>
    </row>
    <row r="1137" spans="1:4" x14ac:dyDescent="0.25">
      <c r="A1137" t="s">
        <v>5</v>
      </c>
      <c r="B1137" s="2">
        <v>44196</v>
      </c>
      <c r="C1137" t="s">
        <v>11</v>
      </c>
      <c r="D1137">
        <v>-0.35579828943385888</v>
      </c>
    </row>
    <row r="1138" spans="1:4" x14ac:dyDescent="0.25">
      <c r="A1138" t="s">
        <v>5</v>
      </c>
      <c r="B1138" s="2">
        <v>44286</v>
      </c>
      <c r="C1138" t="s">
        <v>11</v>
      </c>
      <c r="D1138">
        <v>9.4048586833924364E-2</v>
      </c>
    </row>
    <row r="1139" spans="1:4" x14ac:dyDescent="0.25">
      <c r="A1139" t="s">
        <v>5</v>
      </c>
      <c r="B1139" s="2">
        <v>44377</v>
      </c>
      <c r="C1139" t="s">
        <v>11</v>
      </c>
      <c r="D1139">
        <v>-9.1116537235413131E-2</v>
      </c>
    </row>
    <row r="1140" spans="1:4" x14ac:dyDescent="0.25">
      <c r="A1140" t="s">
        <v>5</v>
      </c>
      <c r="B1140" s="2">
        <v>44469</v>
      </c>
      <c r="C1140" t="s">
        <v>11</v>
      </c>
      <c r="D1140">
        <v>0.35037585264008608</v>
      </c>
    </row>
    <row r="1141" spans="1:4" x14ac:dyDescent="0.25">
      <c r="A1141" t="s">
        <v>5</v>
      </c>
      <c r="B1141" s="2">
        <v>44561</v>
      </c>
      <c r="C1141" t="s">
        <v>11</v>
      </c>
      <c r="D1141">
        <v>-0.22768542758348151</v>
      </c>
    </row>
    <row r="1142" spans="1:4" x14ac:dyDescent="0.25">
      <c r="A1142" t="s">
        <v>5</v>
      </c>
      <c r="B1142" s="2">
        <v>44651</v>
      </c>
      <c r="C1142" t="s">
        <v>11</v>
      </c>
      <c r="D1142">
        <v>-5.9472251477808991E-3</v>
      </c>
    </row>
    <row r="1143" spans="1:4" x14ac:dyDescent="0.25">
      <c r="A1143" t="s">
        <v>5</v>
      </c>
      <c r="B1143" s="2">
        <v>44742</v>
      </c>
      <c r="C1143" t="s">
        <v>11</v>
      </c>
      <c r="D1143">
        <v>-6.7479931707560503E-2</v>
      </c>
    </row>
    <row r="1144" spans="1:4" x14ac:dyDescent="0.25">
      <c r="A1144" t="s">
        <v>5</v>
      </c>
      <c r="B1144" s="2">
        <v>44834</v>
      </c>
      <c r="C1144" t="s">
        <v>11</v>
      </c>
      <c r="D1144">
        <v>0.12585686486834791</v>
      </c>
    </row>
    <row r="1145" spans="1:4" x14ac:dyDescent="0.25">
      <c r="A1145" t="s">
        <v>5</v>
      </c>
      <c r="B1145" s="2">
        <v>44926</v>
      </c>
      <c r="C1145" t="s">
        <v>11</v>
      </c>
      <c r="D1145">
        <v>-0.14479925066770799</v>
      </c>
    </row>
    <row r="1146" spans="1:4" x14ac:dyDescent="0.25">
      <c r="A1146" t="s">
        <v>5</v>
      </c>
      <c r="B1146" s="2">
        <v>45016</v>
      </c>
      <c r="C1146" t="s">
        <v>11</v>
      </c>
      <c r="D1146">
        <v>-2.7840311321518318E-2</v>
      </c>
    </row>
    <row r="1147" spans="1:4" x14ac:dyDescent="0.25">
      <c r="A1147" t="s">
        <v>5</v>
      </c>
      <c r="B1147" s="2">
        <v>45107</v>
      </c>
      <c r="C1147" t="s">
        <v>11</v>
      </c>
      <c r="D1147">
        <v>0.1020363319325444</v>
      </c>
    </row>
    <row r="1148" spans="1:4" x14ac:dyDescent="0.25">
      <c r="A1148" t="s">
        <v>5</v>
      </c>
      <c r="B1148" s="2">
        <v>45199</v>
      </c>
      <c r="C1148" t="s">
        <v>11</v>
      </c>
      <c r="D1148">
        <v>-7.5867711190115039E-2</v>
      </c>
    </row>
    <row r="1149" spans="1:4" x14ac:dyDescent="0.25">
      <c r="A1149" t="s">
        <v>5</v>
      </c>
      <c r="B1149" s="2">
        <v>45291</v>
      </c>
      <c r="C1149" t="s">
        <v>11</v>
      </c>
      <c r="D1149">
        <v>2.5406213764764818E-3</v>
      </c>
    </row>
    <row r="1150" spans="1:4" x14ac:dyDescent="0.25">
      <c r="A1150" t="s">
        <v>5</v>
      </c>
      <c r="B1150" s="2">
        <v>45382</v>
      </c>
      <c r="C1150" t="s">
        <v>11</v>
      </c>
      <c r="D1150">
        <v>2.8487878822706428E-2</v>
      </c>
    </row>
    <row r="1151" spans="1:4" x14ac:dyDescent="0.25">
      <c r="A1151" t="s">
        <v>5</v>
      </c>
      <c r="B1151" s="2">
        <v>45473</v>
      </c>
      <c r="C1151" t="s">
        <v>11</v>
      </c>
      <c r="D1151">
        <v>-3.0603598137949328E-3</v>
      </c>
    </row>
    <row r="1152" spans="1:4" x14ac:dyDescent="0.25">
      <c r="A1152" t="s">
        <v>5</v>
      </c>
      <c r="B1152" s="2">
        <v>45565</v>
      </c>
      <c r="C1152" t="s">
        <v>11</v>
      </c>
      <c r="D1152">
        <v>-0.1539557117970031</v>
      </c>
    </row>
    <row r="1153" spans="1:4" x14ac:dyDescent="0.25">
      <c r="A1153" t="s">
        <v>5</v>
      </c>
      <c r="B1153" s="2">
        <v>45657</v>
      </c>
      <c r="C1153" t="s">
        <v>11</v>
      </c>
      <c r="D1153">
        <v>0.78895072471179262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корреляция</vt:lpstr>
      <vt:lpstr>свод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2026-01-23T06:49:33Z</dcterms:created>
  <dcterms:modified xsi:type="dcterms:W3CDTF">2026-02-06T07:58:49Z</dcterms:modified>
</cp:coreProperties>
</file>