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explore_dat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S96" i="1" l="1"/>
  <c r="S97" i="1" s="1"/>
  <c r="Z96" i="1"/>
  <c r="Z95" i="1"/>
  <c r="AE96" i="1"/>
  <c r="AE95" i="1"/>
  <c r="U95" i="1"/>
  <c r="P96" i="1"/>
  <c r="P95" i="1"/>
  <c r="K96" i="1"/>
  <c r="K95" i="1"/>
  <c r="AD96" i="1"/>
  <c r="AD97" i="1" s="1"/>
  <c r="AC96" i="1"/>
  <c r="AC97" i="1" s="1"/>
  <c r="AB96" i="1"/>
  <c r="AB97" i="1" s="1"/>
  <c r="AA96" i="1"/>
  <c r="AA97" i="1" s="1"/>
  <c r="AD95" i="1"/>
  <c r="AC95" i="1"/>
  <c r="AB95" i="1"/>
  <c r="AA95" i="1"/>
  <c r="Y96" i="1"/>
  <c r="Y97" i="1" s="1"/>
  <c r="X96" i="1"/>
  <c r="X97" i="1" s="1"/>
  <c r="W96" i="1"/>
  <c r="W97" i="1" s="1"/>
  <c r="V96" i="1"/>
  <c r="V97" i="1" s="1"/>
  <c r="Y95" i="1"/>
  <c r="X95" i="1"/>
  <c r="W95" i="1"/>
  <c r="V95" i="1"/>
  <c r="T96" i="1"/>
  <c r="T97" i="1" s="1"/>
  <c r="R96" i="1"/>
  <c r="R97" i="1" s="1"/>
  <c r="Q96" i="1"/>
  <c r="Q97" i="1" s="1"/>
  <c r="T95" i="1"/>
  <c r="S95" i="1"/>
  <c r="R95" i="1"/>
  <c r="Q95" i="1"/>
  <c r="O96" i="1"/>
  <c r="O97" i="1" s="1"/>
  <c r="N96" i="1"/>
  <c r="N97" i="1" s="1"/>
  <c r="M96" i="1"/>
  <c r="M97" i="1" s="1"/>
  <c r="L96" i="1"/>
  <c r="L97" i="1" s="1"/>
  <c r="O95" i="1"/>
  <c r="N95" i="1"/>
  <c r="M95" i="1"/>
  <c r="L95" i="1"/>
  <c r="F95" i="1"/>
  <c r="F96" i="1"/>
  <c r="J96" i="1"/>
  <c r="J97" i="1" s="1"/>
  <c r="I96" i="1"/>
  <c r="I97" i="1" s="1"/>
  <c r="H96" i="1"/>
  <c r="H97" i="1" s="1"/>
  <c r="G96" i="1"/>
  <c r="G97" i="1" s="1"/>
  <c r="J95" i="1"/>
  <c r="I95" i="1"/>
  <c r="H95" i="1"/>
  <c r="G95" i="1"/>
  <c r="C97" i="1"/>
  <c r="D97" i="1"/>
  <c r="E97" i="1"/>
  <c r="B97" i="1"/>
  <c r="C96" i="1"/>
  <c r="D96" i="1"/>
  <c r="E96" i="1"/>
  <c r="B96" i="1"/>
  <c r="C95" i="1"/>
  <c r="D95" i="1"/>
  <c r="E95" i="1"/>
  <c r="B95" i="1"/>
  <c r="U96" i="1" l="1"/>
</calcChain>
</file>

<file path=xl/sharedStrings.xml><?xml version="1.0" encoding="utf-8"?>
<sst xmlns="http://schemas.openxmlformats.org/spreadsheetml/2006/main" count="27" uniqueCount="27">
  <si>
    <t>Индия - ВВП</t>
  </si>
  <si>
    <t>Китай - ВВП</t>
  </si>
  <si>
    <t>Индия - ВВП (сезонность устранена) STL</t>
  </si>
  <si>
    <t>Китай - ВВП (сезонность устранена) STL</t>
  </si>
  <si>
    <t>Индия - Волатильность</t>
  </si>
  <si>
    <t>Китай - Волатильность</t>
  </si>
  <si>
    <t>Индия - Волатильность (сезонность устранена) STL</t>
  </si>
  <si>
    <t>Китай - Волатильность (сезонность устранена) STL</t>
  </si>
  <si>
    <t>Индия - Капитализация</t>
  </si>
  <si>
    <t>Китай - Капитализация</t>
  </si>
  <si>
    <t>Индия - Капитализация (сезонность устранена) STL</t>
  </si>
  <si>
    <t>Китай - Капитализация (сезонность устранена) STL</t>
  </si>
  <si>
    <t>Индия - Оборачиваемость</t>
  </si>
  <si>
    <t>Китай - Оборачиваемость</t>
  </si>
  <si>
    <t>Индия - Оборачиваемость (сезонность устранена) STL</t>
  </si>
  <si>
    <t>Китай - Оборачиваемость (сезонность устранена) STL</t>
  </si>
  <si>
    <t>Индия - Объем торгов</t>
  </si>
  <si>
    <t>Китай - Объем торгов</t>
  </si>
  <si>
    <t>Индия - Объем торгов (сезонность устранена) STL</t>
  </si>
  <si>
    <t>Китай - Объем торгов (сезонность устранена) STL</t>
  </si>
  <si>
    <t>Индия - Цена/прибыль</t>
  </si>
  <si>
    <t>Китай - Цена/прибыль</t>
  </si>
  <si>
    <t>Индия - Цена/прибыль (сезонность устранена) STL</t>
  </si>
  <si>
    <t>Китай - Цена/прибыль (сезонность устранена) STL</t>
  </si>
  <si>
    <t>report_date</t>
  </si>
  <si>
    <t>2024 avg</t>
  </si>
  <si>
    <t>2002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</si>
</sst>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4" fontId="1" fillId="0" borderId="1" xfId="0" applyNumberFormat="1" applyFont="1" applyBorder="1" applyAlignment="1">
      <alignment horizontal="center" vertical="top" wrapText="1"/>
    </xf>
    <xf numFmtId="164" fontId="1" fillId="0" borderId="1" xfId="1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10" fontId="0" fillId="0" borderId="0" xfId="2" applyNumberFormat="1" applyFont="1"/>
    <xf numFmtId="10" fontId="1" fillId="0" borderId="1" xfId="2" applyNumberFormat="1" applyFont="1" applyBorder="1" applyAlignment="1">
      <alignment horizontal="center" vertical="top" wrapText="1"/>
    </xf>
    <xf numFmtId="43" fontId="0" fillId="0" borderId="0" xfId="1" applyNumberFormat="1" applyFont="1"/>
    <xf numFmtId="43" fontId="1" fillId="0" borderId="1" xfId="1" applyNumberFormat="1" applyFont="1" applyBorder="1" applyAlignment="1">
      <alignment horizontal="center" vertical="top" wrapText="1"/>
    </xf>
    <xf numFmtId="165" fontId="0" fillId="0" borderId="0" xfId="2" applyNumberFormat="1" applyFont="1"/>
    <xf numFmtId="164" fontId="0" fillId="0" borderId="0" xfId="2" applyNumberFormat="1" applyFont="1"/>
    <xf numFmtId="166" fontId="0" fillId="0" borderId="0" xfId="2" applyNumberFormat="1" applyFont="1"/>
    <xf numFmtId="14" fontId="3" fillId="0" borderId="0" xfId="0" applyNumberFormat="1" applyFont="1"/>
    <xf numFmtId="43" fontId="0" fillId="0" borderId="0" xfId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Индия - ВВП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Sheet1!$B$2:$B$93</c:f>
              <c:numCache>
                <c:formatCode>_-* #\ ##0_-;\-* #\ ##0_-;_-* "-"??_-;_-@_-</c:formatCode>
                <c:ptCount val="92"/>
                <c:pt idx="0">
                  <c:v>227298484288.87671</c:v>
                </c:pt>
                <c:pt idx="1">
                  <c:v>210467246583.4827</c:v>
                </c:pt>
                <c:pt idx="2">
                  <c:v>201952104400.84409</c:v>
                </c:pt>
                <c:pt idx="3">
                  <c:v>231884340556.15881</c:v>
                </c:pt>
                <c:pt idx="4">
                  <c:v>237864178976.8425</c:v>
                </c:pt>
                <c:pt idx="5">
                  <c:v>220726019969.0784</c:v>
                </c:pt>
                <c:pt idx="6">
                  <c:v>218618463213.41422</c:v>
                </c:pt>
                <c:pt idx="7">
                  <c:v>257944583651.4306</c:v>
                </c:pt>
                <c:pt idx="8">
                  <c:v>255989970376.18329</c:v>
                </c:pt>
                <c:pt idx="9">
                  <c:v>252233758126.4325</c:v>
                </c:pt>
                <c:pt idx="10">
                  <c:v>250116371892.5675</c:v>
                </c:pt>
                <c:pt idx="11">
                  <c:v>276701911463.37378</c:v>
                </c:pt>
                <c:pt idx="12">
                  <c:v>289703393729.84192</c:v>
                </c:pt>
                <c:pt idx="13">
                  <c:v>276269625174.96167</c:v>
                </c:pt>
                <c:pt idx="14">
                  <c:v>261931161409.36249</c:v>
                </c:pt>
                <c:pt idx="15">
                  <c:v>302028462497.9444</c:v>
                </c:pt>
                <c:pt idx="16">
                  <c:v>318252685622.66089</c:v>
                </c:pt>
                <c:pt idx="17">
                  <c:v>288168618794.20239</c:v>
                </c:pt>
                <c:pt idx="18">
                  <c:v>283653381214.90448</c:v>
                </c:pt>
                <c:pt idx="19">
                  <c:v>325879315396.58478</c:v>
                </c:pt>
                <c:pt idx="20">
                  <c:v>332956751737.15289</c:v>
                </c:pt>
                <c:pt idx="21">
                  <c:v>313774417598.63843</c:v>
                </c:pt>
                <c:pt idx="22">
                  <c:v>302712183660.58392</c:v>
                </c:pt>
                <c:pt idx="23">
                  <c:v>368713244011.44891</c:v>
                </c:pt>
                <c:pt idx="24">
                  <c:v>359709787192.23132</c:v>
                </c:pt>
                <c:pt idx="25">
                  <c:v>371461928616.85638</c:v>
                </c:pt>
                <c:pt idx="26">
                  <c:v>357827894615.08752</c:v>
                </c:pt>
                <c:pt idx="27">
                  <c:v>385484340849.73578</c:v>
                </c:pt>
                <c:pt idx="28">
                  <c:v>377065010722.08173</c:v>
                </c:pt>
                <c:pt idx="29">
                  <c:v>369925177394.05249</c:v>
                </c:pt>
                <c:pt idx="30">
                  <c:v>358845090582.24213</c:v>
                </c:pt>
                <c:pt idx="31">
                  <c:v>393271224717.22693</c:v>
                </c:pt>
                <c:pt idx="32">
                  <c:v>405138747386.02502</c:v>
                </c:pt>
                <c:pt idx="33">
                  <c:v>391765133249.44489</c:v>
                </c:pt>
                <c:pt idx="34">
                  <c:v>382786906050.72791</c:v>
                </c:pt>
                <c:pt idx="35">
                  <c:v>425372890558.68842</c:v>
                </c:pt>
                <c:pt idx="36">
                  <c:v>441142297892.69971</c:v>
                </c:pt>
                <c:pt idx="37">
                  <c:v>423741574205.98639</c:v>
                </c:pt>
                <c:pt idx="38">
                  <c:v>397808259981.41681</c:v>
                </c:pt>
                <c:pt idx="39">
                  <c:v>430393689760.67798</c:v>
                </c:pt>
                <c:pt idx="40">
                  <c:v>466511593379.84882</c:v>
                </c:pt>
                <c:pt idx="41">
                  <c:v>432017913188.83618</c:v>
                </c:pt>
                <c:pt idx="42">
                  <c:v>420014113105.97491</c:v>
                </c:pt>
                <c:pt idx="43">
                  <c:v>459943289129.12531</c:v>
                </c:pt>
                <c:pt idx="44">
                  <c:v>465263455175.28912</c:v>
                </c:pt>
                <c:pt idx="45">
                  <c:v>435720614725.91443</c:v>
                </c:pt>
                <c:pt idx="46">
                  <c:v>428170883508.73633</c:v>
                </c:pt>
                <c:pt idx="47">
                  <c:v>469130647042.69781</c:v>
                </c:pt>
                <c:pt idx="48">
                  <c:v>462952668708.98511</c:v>
                </c:pt>
                <c:pt idx="49">
                  <c:v>468958190591.4256</c:v>
                </c:pt>
                <c:pt idx="50">
                  <c:v>438707617062.29852</c:v>
                </c:pt>
                <c:pt idx="51">
                  <c:v>473612424523.80292</c:v>
                </c:pt>
                <c:pt idx="52">
                  <c:v>463539376371.71399</c:v>
                </c:pt>
                <c:pt idx="53">
                  <c:v>484736709074.93231</c:v>
                </c:pt>
                <c:pt idx="54">
                  <c:v>476674666418.89502</c:v>
                </c:pt>
                <c:pt idx="55">
                  <c:v>484881506940.76141</c:v>
                </c:pt>
                <c:pt idx="56">
                  <c:v>487347240318.4093</c:v>
                </c:pt>
                <c:pt idx="57">
                  <c:v>505090105782.62433</c:v>
                </c:pt>
                <c:pt idx="58">
                  <c:v>501672734917.802</c:v>
                </c:pt>
                <c:pt idx="59">
                  <c:v>521145387482.16107</c:v>
                </c:pt>
                <c:pt idx="60">
                  <c:v>534833424242.672</c:v>
                </c:pt>
                <c:pt idx="61">
                  <c:v>542826038381.4483</c:v>
                </c:pt>
                <c:pt idx="62">
                  <c:v>539605575031.69598</c:v>
                </c:pt>
                <c:pt idx="63">
                  <c:v>566766721393.2771</c:v>
                </c:pt>
                <c:pt idx="64">
                  <c:v>571953553307.99512</c:v>
                </c:pt>
                <c:pt idx="65">
                  <c:v>587922921055.58618</c:v>
                </c:pt>
                <c:pt idx="66">
                  <c:v>570104930131.61536</c:v>
                </c:pt>
                <c:pt idx="67">
                  <c:v>592971699453.32153</c:v>
                </c:pt>
                <c:pt idx="68">
                  <c:v>582849307539.25549</c:v>
                </c:pt>
                <c:pt idx="69">
                  <c:v>591215469691.50513</c:v>
                </c:pt>
                <c:pt idx="70">
                  <c:v>569420337502.92114</c:v>
                </c:pt>
                <c:pt idx="71">
                  <c:v>579907300673.18579</c:v>
                </c:pt>
                <c:pt idx="72">
                  <c:v>582298390718.17542</c:v>
                </c:pt>
                <c:pt idx="73">
                  <c:v>455532508274.35138</c:v>
                </c:pt>
                <c:pt idx="74">
                  <c:v>519438748474.56927</c:v>
                </c:pt>
                <c:pt idx="75">
                  <c:v>589123489306.59985</c:v>
                </c:pt>
                <c:pt idx="76">
                  <c:v>623132079652.2323</c:v>
                </c:pt>
                <c:pt idx="77">
                  <c:v>557531834727.98169</c:v>
                </c:pt>
                <c:pt idx="78">
                  <c:v>590279565152.37561</c:v>
                </c:pt>
                <c:pt idx="79">
                  <c:v>646112852361.1969</c:v>
                </c:pt>
                <c:pt idx="80">
                  <c:v>679335825363.46814</c:v>
                </c:pt>
                <c:pt idx="81">
                  <c:v>650507160718.58765</c:v>
                </c:pt>
                <c:pt idx="82">
                  <c:v>639327222116.77771</c:v>
                </c:pt>
                <c:pt idx="83">
                  <c:v>669586841997.323</c:v>
                </c:pt>
                <c:pt idx="84">
                  <c:v>699296890146.67737</c:v>
                </c:pt>
                <c:pt idx="85">
                  <c:v>688231897343.828</c:v>
                </c:pt>
                <c:pt idx="86">
                  <c:v>672798805709.26514</c:v>
                </c:pt>
                <c:pt idx="87">
                  <c:v>712741812154.22681</c:v>
                </c:pt>
                <c:pt idx="88">
                  <c:v>738075020110.13123</c:v>
                </c:pt>
                <c:pt idx="89">
                  <c:v>725908076367.88062</c:v>
                </c:pt>
                <c:pt idx="90">
                  <c:v>707577896957.70703</c:v>
                </c:pt>
                <c:pt idx="91">
                  <c:v>758906201548.81079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4-4FE9-9EA8-9885043BF33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Индия - ВВП (сезонность устранена) STL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Sheet1!$C$2:$C$93</c:f>
              <c:numCache>
                <c:formatCode>_-* #\ ##0_-;\-* #\ ##0_-;_-* "-"??_-;_-@_-</c:formatCode>
                <c:ptCount val="92"/>
                <c:pt idx="0">
                  <c:v>213501996087.28531</c:v>
                </c:pt>
                <c:pt idx="1">
                  <c:v>217488215969.05441</c:v>
                </c:pt>
                <c:pt idx="2">
                  <c:v>218939095782.87869</c:v>
                </c:pt>
                <c:pt idx="3">
                  <c:v>220824437432.82458</c:v>
                </c:pt>
                <c:pt idx="4">
                  <c:v>225706939142.207</c:v>
                </c:pt>
                <c:pt idx="5">
                  <c:v>227060293392.84879</c:v>
                </c:pt>
                <c:pt idx="6">
                  <c:v>235576991290.35889</c:v>
                </c:pt>
                <c:pt idx="7">
                  <c:v>246996119566.00049</c:v>
                </c:pt>
                <c:pt idx="8">
                  <c:v>244760271406.5701</c:v>
                </c:pt>
                <c:pt idx="9">
                  <c:v>257754777361.41599</c:v>
                </c:pt>
                <c:pt idx="10">
                  <c:v>267766177036.75989</c:v>
                </c:pt>
                <c:pt idx="11">
                  <c:v>265667568560.39819</c:v>
                </c:pt>
                <c:pt idx="12">
                  <c:v>274741466750.43121</c:v>
                </c:pt>
                <c:pt idx="13">
                  <c:v>282355334824.22131</c:v>
                </c:pt>
                <c:pt idx="14">
                  <c:v>281696437963.24573</c:v>
                </c:pt>
                <c:pt idx="15">
                  <c:v>290339692470.61621</c:v>
                </c:pt>
                <c:pt idx="16">
                  <c:v>299897924001.35773</c:v>
                </c:pt>
                <c:pt idx="17">
                  <c:v>297143184344.0022</c:v>
                </c:pt>
                <c:pt idx="18">
                  <c:v>307969409122.39252</c:v>
                </c:pt>
                <c:pt idx="19">
                  <c:v>307995272882.99109</c:v>
                </c:pt>
                <c:pt idx="20">
                  <c:v>316146284403.55969</c:v>
                </c:pt>
                <c:pt idx="21">
                  <c:v>324823476138.53998</c:v>
                </c:pt>
                <c:pt idx="22">
                  <c:v>332974792313.55127</c:v>
                </c:pt>
                <c:pt idx="23">
                  <c:v>346806780086.44019</c:v>
                </c:pt>
                <c:pt idx="24">
                  <c:v>347778704686.29718</c:v>
                </c:pt>
                <c:pt idx="25">
                  <c:v>378614560694.00427</c:v>
                </c:pt>
                <c:pt idx="26">
                  <c:v>382818647146.28473</c:v>
                </c:pt>
                <c:pt idx="27">
                  <c:v>365639739910.39093</c:v>
                </c:pt>
                <c:pt idx="28">
                  <c:v>366258565957.84003</c:v>
                </c:pt>
                <c:pt idx="29">
                  <c:v>373390444615.26147</c:v>
                </c:pt>
                <c:pt idx="30">
                  <c:v>378613886625.95709</c:v>
                </c:pt>
                <c:pt idx="31">
                  <c:v>379629573301.31378</c:v>
                </c:pt>
                <c:pt idx="32">
                  <c:v>390934212027.3338</c:v>
                </c:pt>
                <c:pt idx="33">
                  <c:v>396340294895.3017</c:v>
                </c:pt>
                <c:pt idx="34">
                  <c:v>407670567271.03882</c:v>
                </c:pt>
                <c:pt idx="35">
                  <c:v>413384252533.31921</c:v>
                </c:pt>
                <c:pt idx="36">
                  <c:v>420053679176.49847</c:v>
                </c:pt>
                <c:pt idx="37">
                  <c:v>430006992994.32617</c:v>
                </c:pt>
                <c:pt idx="38">
                  <c:v>424612479563.92828</c:v>
                </c:pt>
                <c:pt idx="39">
                  <c:v>417695767090.74847</c:v>
                </c:pt>
                <c:pt idx="40">
                  <c:v>444566087378.69482</c:v>
                </c:pt>
                <c:pt idx="41">
                  <c:v>443269839395.16388</c:v>
                </c:pt>
                <c:pt idx="42">
                  <c:v>446975716502.02838</c:v>
                </c:pt>
                <c:pt idx="43">
                  <c:v>446855933081.86981</c:v>
                </c:pt>
                <c:pt idx="44">
                  <c:v>448499886674.69891</c:v>
                </c:pt>
                <c:pt idx="45">
                  <c:v>436327667670.10791</c:v>
                </c:pt>
                <c:pt idx="46">
                  <c:v>452344647129.89508</c:v>
                </c:pt>
                <c:pt idx="47">
                  <c:v>456559395514.23071</c:v>
                </c:pt>
                <c:pt idx="48">
                  <c:v>456865106753.32123</c:v>
                </c:pt>
                <c:pt idx="49">
                  <c:v>458980710090.53778</c:v>
                </c:pt>
                <c:pt idx="50">
                  <c:v>461286287122.31299</c:v>
                </c:pt>
                <c:pt idx="51">
                  <c:v>465118184165.17548</c:v>
                </c:pt>
                <c:pt idx="52">
                  <c:v>464171889447.82458</c:v>
                </c:pt>
                <c:pt idx="53">
                  <c:v>474901991236.61011</c:v>
                </c:pt>
                <c:pt idx="54">
                  <c:v>491770726685.68127</c:v>
                </c:pt>
                <c:pt idx="55">
                  <c:v>481220175700.01147</c:v>
                </c:pt>
                <c:pt idx="56">
                  <c:v>488872963008.0755</c:v>
                </c:pt>
                <c:pt idx="57">
                  <c:v>498621539755.93689</c:v>
                </c:pt>
                <c:pt idx="58">
                  <c:v>509855782027.81549</c:v>
                </c:pt>
                <c:pt idx="59">
                  <c:v>519072403950.66058</c:v>
                </c:pt>
                <c:pt idx="60">
                  <c:v>533875935017.47968</c:v>
                </c:pt>
                <c:pt idx="61">
                  <c:v>538172652265.82208</c:v>
                </c:pt>
                <c:pt idx="62">
                  <c:v>550803785964.526</c:v>
                </c:pt>
                <c:pt idx="63">
                  <c:v>562174264320.96094</c:v>
                </c:pt>
                <c:pt idx="64">
                  <c:v>570953612551.26733</c:v>
                </c:pt>
                <c:pt idx="65">
                  <c:v>581466244795.93274</c:v>
                </c:pt>
                <c:pt idx="66">
                  <c:v>581649845715.52881</c:v>
                </c:pt>
                <c:pt idx="67">
                  <c:v>587042827368.65259</c:v>
                </c:pt>
                <c:pt idx="68">
                  <c:v>580481395119.54004</c:v>
                </c:pt>
                <c:pt idx="69">
                  <c:v>581365500146.19006</c:v>
                </c:pt>
                <c:pt idx="70">
                  <c:v>577940375027.86816</c:v>
                </c:pt>
                <c:pt idx="71">
                  <c:v>572846165708.69727</c:v>
                </c:pt>
                <c:pt idx="72">
                  <c:v>567455656638.17542</c:v>
                </c:pt>
                <c:pt idx="73">
                  <c:v>471312882843.46613</c:v>
                </c:pt>
                <c:pt idx="74">
                  <c:v>534044401773.81409</c:v>
                </c:pt>
                <c:pt idx="75">
                  <c:v>576290610068.85999</c:v>
                </c:pt>
                <c:pt idx="76">
                  <c:v>590686957852.08936</c:v>
                </c:pt>
                <c:pt idx="77">
                  <c:v>598866594076.58752</c:v>
                </c:pt>
                <c:pt idx="78">
                  <c:v>611542498906.75806</c:v>
                </c:pt>
                <c:pt idx="79">
                  <c:v>629443085811.17334</c:v>
                </c:pt>
                <c:pt idx="80">
                  <c:v>641144929181.44031</c:v>
                </c:pt>
                <c:pt idx="81">
                  <c:v>691671851423.18896</c:v>
                </c:pt>
                <c:pt idx="82">
                  <c:v>655670981270.65649</c:v>
                </c:pt>
                <c:pt idx="83">
                  <c:v>655553498881.14514</c:v>
                </c:pt>
                <c:pt idx="84">
                  <c:v>668262474254.91748</c:v>
                </c:pt>
                <c:pt idx="85">
                  <c:v>702573679556.87573</c:v>
                </c:pt>
                <c:pt idx="86">
                  <c:v>694948881936.81128</c:v>
                </c:pt>
                <c:pt idx="87">
                  <c:v>702949886706.9469</c:v>
                </c:pt>
                <c:pt idx="88">
                  <c:v>715303606595.16541</c:v>
                </c:pt>
                <c:pt idx="89">
                  <c:v>727570122356.15186</c:v>
                </c:pt>
                <c:pt idx="90">
                  <c:v>736916781323.328</c:v>
                </c:pt>
                <c:pt idx="91">
                  <c:v>752660714772.60913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4-4FE9-9EA8-9885043BF33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Китай - ВВП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Sheet1!$D$2:$D$93</c:f>
              <c:numCache>
                <c:formatCode>_-* #\ ##0_-;\-* #\ ##0_-;_-* "-"??_-;_-@_-</c:formatCode>
                <c:ptCount val="92"/>
                <c:pt idx="0">
                  <c:v>600705994856.72144</c:v>
                </c:pt>
                <c:pt idx="1">
                  <c:v>674468580482.49146</c:v>
                </c:pt>
                <c:pt idx="2">
                  <c:v>729054082884.02588</c:v>
                </c:pt>
                <c:pt idx="3">
                  <c:v>807696554675.42627</c:v>
                </c:pt>
                <c:pt idx="4">
                  <c:v>678975192720.78479</c:v>
                </c:pt>
                <c:pt idx="5">
                  <c:v>748138683797.54468</c:v>
                </c:pt>
                <c:pt idx="6">
                  <c:v>817180293990.59656</c:v>
                </c:pt>
                <c:pt idx="7">
                  <c:v>896031763547.37549</c:v>
                </c:pt>
                <c:pt idx="8">
                  <c:v>766011826345.05005</c:v>
                </c:pt>
                <c:pt idx="9">
                  <c:v>853595438431.00024</c:v>
                </c:pt>
                <c:pt idx="10">
                  <c:v>921903470660.83069</c:v>
                </c:pt>
                <c:pt idx="11">
                  <c:v>1021767201260.819</c:v>
                </c:pt>
                <c:pt idx="12">
                  <c:v>872347633147.37512</c:v>
                </c:pt>
                <c:pt idx="13">
                  <c:v>970982196777.9115</c:v>
                </c:pt>
                <c:pt idx="14">
                  <c:v>1043640661965.1021</c:v>
                </c:pt>
                <c:pt idx="15">
                  <c:v>1163579275455.342</c:v>
                </c:pt>
                <c:pt idx="16">
                  <c:v>1001578828521.7939</c:v>
                </c:pt>
                <c:pt idx="17">
                  <c:v>1123775543388.2009</c:v>
                </c:pt>
                <c:pt idx="18">
                  <c:v>1199029101299.1631</c:v>
                </c:pt>
                <c:pt idx="19">
                  <c:v>1345104371843.8101</c:v>
                </c:pt>
                <c:pt idx="20">
                  <c:v>1183663663595.625</c:v>
                </c:pt>
                <c:pt idx="21">
                  <c:v>1335120041942.376</c:v>
                </c:pt>
                <c:pt idx="22">
                  <c:v>1400862512638.5691</c:v>
                </c:pt>
                <c:pt idx="23">
                  <c:v>1560209123974.0149</c:v>
                </c:pt>
                <c:pt idx="24">
                  <c:v>1331217497679.4131</c:v>
                </c:pt>
                <c:pt idx="25">
                  <c:v>1505370901213.9309</c:v>
                </c:pt>
                <c:pt idx="26">
                  <c:v>1578778884883.189</c:v>
                </c:pt>
                <c:pt idx="27">
                  <c:v>1715637872532.7661</c:v>
                </c:pt>
                <c:pt idx="28">
                  <c:v>1429368750315.7319</c:v>
                </c:pt>
                <c:pt idx="29">
                  <c:v>1631834777686.9771</c:v>
                </c:pt>
                <c:pt idx="30">
                  <c:v>1745506123854.761</c:v>
                </c:pt>
                <c:pt idx="31">
                  <c:v>1941963256482.3369</c:v>
                </c:pt>
                <c:pt idx="32">
                  <c:v>1656555565353.6699</c:v>
                </c:pt>
                <c:pt idx="33">
                  <c:v>1881226226851.761</c:v>
                </c:pt>
                <c:pt idx="34">
                  <c:v>1995017623382.3159</c:v>
                </c:pt>
                <c:pt idx="35">
                  <c:v>2195589883012.9419</c:v>
                </c:pt>
                <c:pt idx="36">
                  <c:v>1876268274232.397</c:v>
                </c:pt>
                <c:pt idx="37">
                  <c:v>2121597763280.592</c:v>
                </c:pt>
                <c:pt idx="38">
                  <c:v>2235470780336.3149</c:v>
                </c:pt>
                <c:pt idx="39">
                  <c:v>2425535748020.127</c:v>
                </c:pt>
                <c:pt idx="40">
                  <c:v>2032930500802.3799</c:v>
                </c:pt>
                <c:pt idx="41">
                  <c:v>2281713952256.916</c:v>
                </c:pt>
                <c:pt idx="42">
                  <c:v>2395580707171.9492</c:v>
                </c:pt>
                <c:pt idx="43">
                  <c:v>2614701636163.8159</c:v>
                </c:pt>
                <c:pt idx="44">
                  <c:v>2191837493459.2891</c:v>
                </c:pt>
                <c:pt idx="45">
                  <c:v>2439150158401.3452</c:v>
                </c:pt>
                <c:pt idx="46">
                  <c:v>2574154262564.814</c:v>
                </c:pt>
                <c:pt idx="47">
                  <c:v>2811923321154.8882</c:v>
                </c:pt>
                <c:pt idx="48">
                  <c:v>2333341300513.4419</c:v>
                </c:pt>
                <c:pt idx="49">
                  <c:v>2606255464332.7178</c:v>
                </c:pt>
                <c:pt idx="50">
                  <c:v>2748167959017.9458</c:v>
                </c:pt>
                <c:pt idx="51">
                  <c:v>2991955532760.0708</c:v>
                </c:pt>
                <c:pt idx="52">
                  <c:v>2477740850010.7441</c:v>
                </c:pt>
                <c:pt idx="53">
                  <c:v>2771702428966.1831</c:v>
                </c:pt>
                <c:pt idx="54">
                  <c:v>2884161898732.313</c:v>
                </c:pt>
                <c:pt idx="55">
                  <c:v>3143816804643.1021</c:v>
                </c:pt>
                <c:pt idx="56">
                  <c:v>2608749627551.5742</c:v>
                </c:pt>
                <c:pt idx="57">
                  <c:v>2921566116202.3042</c:v>
                </c:pt>
                <c:pt idx="58">
                  <c:v>3069841249989.4312</c:v>
                </c:pt>
                <c:pt idx="59">
                  <c:v>3379568089736.9058</c:v>
                </c:pt>
                <c:pt idx="60">
                  <c:v>2874963734754.7432</c:v>
                </c:pt>
                <c:pt idx="61">
                  <c:v>3199628176993.644</c:v>
                </c:pt>
                <c:pt idx="62">
                  <c:v>3361299583441.9922</c:v>
                </c:pt>
                <c:pt idx="63">
                  <c:v>3689595971868.5122</c:v>
                </c:pt>
                <c:pt idx="64">
                  <c:v>3125994595100.3169</c:v>
                </c:pt>
                <c:pt idx="65">
                  <c:v>3488041249698.666</c:v>
                </c:pt>
                <c:pt idx="66">
                  <c:v>3620346143655.4878</c:v>
                </c:pt>
                <c:pt idx="67">
                  <c:v>3968903135418.7461</c:v>
                </c:pt>
                <c:pt idx="68">
                  <c:v>3304369575054.1528</c:v>
                </c:pt>
                <c:pt idx="69">
                  <c:v>3667838940356.8198</c:v>
                </c:pt>
                <c:pt idx="70">
                  <c:v>3773429273517.9121</c:v>
                </c:pt>
                <c:pt idx="71">
                  <c:v>4079367660596.9282</c:v>
                </c:pt>
                <c:pt idx="72">
                  <c:v>2980808719573.4038</c:v>
                </c:pt>
                <c:pt idx="73">
                  <c:v>3675887638472.0708</c:v>
                </c:pt>
                <c:pt idx="74">
                  <c:v>3901691987159.6982</c:v>
                </c:pt>
                <c:pt idx="75">
                  <c:v>4357968536926.6909</c:v>
                </c:pt>
                <c:pt idx="76">
                  <c:v>3629969543215.208</c:v>
                </c:pt>
                <c:pt idx="77">
                  <c:v>4124376843248.7632</c:v>
                </c:pt>
                <c:pt idx="78">
                  <c:v>4264516714610.4028</c:v>
                </c:pt>
                <c:pt idx="79">
                  <c:v>4721260507470.1191</c:v>
                </c:pt>
                <c:pt idx="80">
                  <c:v>3899806582150.7769</c:v>
                </c:pt>
                <c:pt idx="81">
                  <c:v>4189324836280.8442</c:v>
                </c:pt>
                <c:pt idx="82">
                  <c:v>4397487016723.3442</c:v>
                </c:pt>
                <c:pt idx="83">
                  <c:v>4768518006290.6572</c:v>
                </c:pt>
                <c:pt idx="84">
                  <c:v>4063255246931.0679</c:v>
                </c:pt>
                <c:pt idx="85">
                  <c:v>4424885846254.873</c:v>
                </c:pt>
                <c:pt idx="86">
                  <c:v>4582270334306.9424</c:v>
                </c:pt>
                <c:pt idx="87">
                  <c:v>4991918373570.7012</c:v>
                </c:pt>
                <c:pt idx="88">
                  <c:v>4236853807813.1602</c:v>
                </c:pt>
                <c:pt idx="89">
                  <c:v>4590775729689.5605</c:v>
                </c:pt>
                <c:pt idx="90">
                  <c:v>4745071999004.8857</c:v>
                </c:pt>
                <c:pt idx="91">
                  <c:v>5212390165104.3604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4-4FE9-9EA8-9885043BF33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Китай - ВВП (сезонность устранена) STL</c:v>
                </c:pt>
              </c:strCache>
            </c:strRef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Sheet1!$E$2:$E$93</c:f>
              <c:numCache>
                <c:formatCode>_-* #\ ##0_-;\-* #\ ##0_-;_-* "-"??_-;_-@_-</c:formatCode>
                <c:ptCount val="92"/>
                <c:pt idx="0">
                  <c:v>669543821803.02356</c:v>
                </c:pt>
                <c:pt idx="1">
                  <c:v>693034075032.52161</c:v>
                </c:pt>
                <c:pt idx="2">
                  <c:v>709950480958.67273</c:v>
                </c:pt>
                <c:pt idx="3">
                  <c:v>734173369622.55554</c:v>
                </c:pt>
                <c:pt idx="4">
                  <c:v>753587052543.80139</c:v>
                </c:pt>
                <c:pt idx="5">
                  <c:v>768511583171.07397</c:v>
                </c:pt>
                <c:pt idx="6">
                  <c:v>797771466829.69824</c:v>
                </c:pt>
                <c:pt idx="7">
                  <c:v>814765668389.1261</c:v>
                </c:pt>
                <c:pt idx="8">
                  <c:v>846785847992.68701</c:v>
                </c:pt>
                <c:pt idx="9">
                  <c:v>875727750829.67725</c:v>
                </c:pt>
                <c:pt idx="10">
                  <c:v>902657010278.0791</c:v>
                </c:pt>
                <c:pt idx="11">
                  <c:v>932681066950.1748</c:v>
                </c:pt>
                <c:pt idx="12">
                  <c:v>962406135268.65674</c:v>
                </c:pt>
                <c:pt idx="13">
                  <c:v>992455165402.15637</c:v>
                </c:pt>
                <c:pt idx="14">
                  <c:v>1028833908406.853</c:v>
                </c:pt>
                <c:pt idx="15">
                  <c:v>1064922536978.011</c:v>
                </c:pt>
                <c:pt idx="16">
                  <c:v>1100852314414.1919</c:v>
                </c:pt>
                <c:pt idx="17">
                  <c:v>1140177840956.7759</c:v>
                </c:pt>
                <c:pt idx="18">
                  <c:v>1186480586259.5959</c:v>
                </c:pt>
                <c:pt idx="19">
                  <c:v>1233906964710.2209</c:v>
                </c:pt>
                <c:pt idx="20">
                  <c:v>1299666422581.6179</c:v>
                </c:pt>
                <c:pt idx="21">
                  <c:v>1345495787230.5249</c:v>
                </c:pt>
                <c:pt idx="22">
                  <c:v>1385779969245.001</c:v>
                </c:pt>
                <c:pt idx="23">
                  <c:v>1429349611020.8411</c:v>
                </c:pt>
                <c:pt idx="24">
                  <c:v>1471908202646.4861</c:v>
                </c:pt>
                <c:pt idx="25">
                  <c:v>1514519667898.9341</c:v>
                </c:pt>
                <c:pt idx="26">
                  <c:v>1557448647891.064</c:v>
                </c:pt>
                <c:pt idx="27">
                  <c:v>1569371044712.0281</c:v>
                </c:pt>
                <c:pt idx="28">
                  <c:v>1591578961592.0601</c:v>
                </c:pt>
                <c:pt idx="29">
                  <c:v>1645762319809.428</c:v>
                </c:pt>
                <c:pt idx="30">
                  <c:v>1717741791396.293</c:v>
                </c:pt>
                <c:pt idx="31">
                  <c:v>1780110128587.501</c:v>
                </c:pt>
                <c:pt idx="32">
                  <c:v>1840189144167.4741</c:v>
                </c:pt>
                <c:pt idx="33">
                  <c:v>1899982713593.6201</c:v>
                </c:pt>
                <c:pt idx="34">
                  <c:v>1957346272940.6809</c:v>
                </c:pt>
                <c:pt idx="35">
                  <c:v>2016330000555.53</c:v>
                </c:pt>
                <c:pt idx="36">
                  <c:v>2081452634801.875</c:v>
                </c:pt>
                <c:pt idx="37">
                  <c:v>2139876236004.396</c:v>
                </c:pt>
                <c:pt idx="38">
                  <c:v>2192423197170.957</c:v>
                </c:pt>
                <c:pt idx="39">
                  <c:v>2225542302883.7021</c:v>
                </c:pt>
                <c:pt idx="40">
                  <c:v>2260068283513.2969</c:v>
                </c:pt>
                <c:pt idx="41">
                  <c:v>2306258424779.9619</c:v>
                </c:pt>
                <c:pt idx="42">
                  <c:v>2346398908005.624</c:v>
                </c:pt>
                <c:pt idx="43">
                  <c:v>2390680884239.2749</c:v>
                </c:pt>
                <c:pt idx="44">
                  <c:v>2440650235349.521</c:v>
                </c:pt>
                <c:pt idx="45">
                  <c:v>2474730838867.5889</c:v>
                </c:pt>
                <c:pt idx="46">
                  <c:v>2520418673864.583</c:v>
                </c:pt>
                <c:pt idx="47">
                  <c:v>2565254567262.7861</c:v>
                </c:pt>
                <c:pt idx="48">
                  <c:v>2600775939811.4048</c:v>
                </c:pt>
                <c:pt idx="49">
                  <c:v>2642508796081.3369</c:v>
                </c:pt>
                <c:pt idx="50">
                  <c:v>2693094178379.2222</c:v>
                </c:pt>
                <c:pt idx="51">
                  <c:v>2730437525750.5488</c:v>
                </c:pt>
                <c:pt idx="52">
                  <c:v>2763722230368.3159</c:v>
                </c:pt>
                <c:pt idx="53">
                  <c:v>2800596368232.6221</c:v>
                </c:pt>
                <c:pt idx="54">
                  <c:v>2837850227710.8252</c:v>
                </c:pt>
                <c:pt idx="55">
                  <c:v>2875101134184.8521</c:v>
                </c:pt>
                <c:pt idx="56">
                  <c:v>2901985522856.8379</c:v>
                </c:pt>
                <c:pt idx="57">
                  <c:v>2959249336447.2759</c:v>
                </c:pt>
                <c:pt idx="58">
                  <c:v>3028915114619.8882</c:v>
                </c:pt>
                <c:pt idx="59">
                  <c:v>3098183327206.188</c:v>
                </c:pt>
                <c:pt idx="60">
                  <c:v>3179554911786.4028</c:v>
                </c:pt>
                <c:pt idx="61">
                  <c:v>3248646670865.1948</c:v>
                </c:pt>
                <c:pt idx="62">
                  <c:v>3312513182251.2271</c:v>
                </c:pt>
                <c:pt idx="63">
                  <c:v>3368805237800.0532</c:v>
                </c:pt>
                <c:pt idx="64">
                  <c:v>3430836855743.6362</c:v>
                </c:pt>
                <c:pt idx="65">
                  <c:v>3483258275407.5571</c:v>
                </c:pt>
                <c:pt idx="66">
                  <c:v>3533106206305.75</c:v>
                </c:pt>
                <c:pt idx="67">
                  <c:v>3581250563609.561</c:v>
                </c:pt>
                <c:pt idx="68">
                  <c:v>3805096762518.5542</c:v>
                </c:pt>
                <c:pt idx="69">
                  <c:v>3651058249636.8491</c:v>
                </c:pt>
                <c:pt idx="70">
                  <c:v>3682219719016.5918</c:v>
                </c:pt>
                <c:pt idx="71">
                  <c:v>3633756756578.312</c:v>
                </c:pt>
                <c:pt idx="72">
                  <c:v>3678872263312.9072</c:v>
                </c:pt>
                <c:pt idx="73">
                  <c:v>3624076179132.939</c:v>
                </c:pt>
                <c:pt idx="74">
                  <c:v>3815505962904.6172</c:v>
                </c:pt>
                <c:pt idx="75">
                  <c:v>3899046346948.917</c:v>
                </c:pt>
                <c:pt idx="76">
                  <c:v>4221562349159.332</c:v>
                </c:pt>
                <c:pt idx="77">
                  <c:v>4080482642534.4658</c:v>
                </c:pt>
                <c:pt idx="78">
                  <c:v>4180253329677.9199</c:v>
                </c:pt>
                <c:pt idx="79">
                  <c:v>4284708341582.0078</c:v>
                </c:pt>
                <c:pt idx="80">
                  <c:v>4391645832376.5439</c:v>
                </c:pt>
                <c:pt idx="81">
                  <c:v>4155719387214.3628</c:v>
                </c:pt>
                <c:pt idx="82">
                  <c:v>4320410168501.5981</c:v>
                </c:pt>
                <c:pt idx="83">
                  <c:v>4336120883251.8828</c:v>
                </c:pt>
                <c:pt idx="84">
                  <c:v>4520568020390.5225</c:v>
                </c:pt>
                <c:pt idx="85">
                  <c:v>4477739631314.2129</c:v>
                </c:pt>
                <c:pt idx="86">
                  <c:v>4538360261740.5303</c:v>
                </c:pt>
                <c:pt idx="87">
                  <c:v>4538402224811.8584</c:v>
                </c:pt>
                <c:pt idx="88">
                  <c:v>4654955084578.9766</c:v>
                </c:pt>
                <c:pt idx="89">
                  <c:v>4685051822898.7939</c:v>
                </c:pt>
                <c:pt idx="90">
                  <c:v>4715723679429.7119</c:v>
                </c:pt>
                <c:pt idx="91">
                  <c:v>4746119985880.2471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54-4FE9-9EA8-9885043B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497039"/>
        <c:axId val="2015498703"/>
      </c:lineChart>
      <c:dateAx>
        <c:axId val="201549703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498703"/>
        <c:crosses val="autoZero"/>
        <c:auto val="1"/>
        <c:lblOffset val="100"/>
        <c:baseTimeUnit val="months"/>
        <c:majorUnit val="5"/>
        <c:majorTimeUnit val="years"/>
      </c:dateAx>
      <c:valAx>
        <c:axId val="2015498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497039"/>
        <c:crosses val="autoZero"/>
        <c:crossBetween val="between"/>
        <c:dispUnits>
          <c:builtInUnit val="tr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Индия - Волатильность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Sheet1!$V$2:$V$93</c:f>
              <c:numCache>
                <c:formatCode>0.00%</c:formatCode>
                <c:ptCount val="92"/>
                <c:pt idx="0">
                  <c:v>0.19331183562221349</c:v>
                </c:pt>
                <c:pt idx="1">
                  <c:v>0.19442416346897989</c:v>
                </c:pt>
                <c:pt idx="2">
                  <c:v>0.1481407674271534</c:v>
                </c:pt>
                <c:pt idx="3">
                  <c:v>0.13828929790145389</c:v>
                </c:pt>
                <c:pt idx="4">
                  <c:v>0.14116118634617461</c:v>
                </c:pt>
                <c:pt idx="5">
                  <c:v>0.17800435347315041</c:v>
                </c:pt>
                <c:pt idx="6">
                  <c:v>0.21443812588880981</c:v>
                </c:pt>
                <c:pt idx="7">
                  <c:v>0.1989604919742507</c:v>
                </c:pt>
                <c:pt idx="8">
                  <c:v>0.26214999297308522</c:v>
                </c:pt>
                <c:pt idx="9">
                  <c:v>0.39759735458620871</c:v>
                </c:pt>
                <c:pt idx="10">
                  <c:v>0.14577391214347249</c:v>
                </c:pt>
                <c:pt idx="11">
                  <c:v>0.1467539250695015</c:v>
                </c:pt>
                <c:pt idx="12">
                  <c:v>0.18260476500567699</c:v>
                </c:pt>
                <c:pt idx="13">
                  <c:v>0.1531227896916916</c:v>
                </c:pt>
                <c:pt idx="14">
                  <c:v>0.15800182626017931</c:v>
                </c:pt>
                <c:pt idx="15">
                  <c:v>0.19324449798714291</c:v>
                </c:pt>
                <c:pt idx="16">
                  <c:v>0.15640901032408919</c:v>
                </c:pt>
                <c:pt idx="17">
                  <c:v>0.44133883143714298</c:v>
                </c:pt>
                <c:pt idx="18">
                  <c:v>0.22320847015540979</c:v>
                </c:pt>
                <c:pt idx="19">
                  <c:v>0.17364328436673171</c:v>
                </c:pt>
                <c:pt idx="20">
                  <c:v>0.25824603433904342</c:v>
                </c:pt>
                <c:pt idx="21">
                  <c:v>0.19889698510428311</c:v>
                </c:pt>
                <c:pt idx="22">
                  <c:v>0.26540884946881699</c:v>
                </c:pt>
                <c:pt idx="23">
                  <c:v>0.31889328410785528</c:v>
                </c:pt>
                <c:pt idx="24">
                  <c:v>0.50629813278264435</c:v>
                </c:pt>
                <c:pt idx="25">
                  <c:v>0.27479657865289142</c:v>
                </c:pt>
                <c:pt idx="26">
                  <c:v>0.46289717905987371</c:v>
                </c:pt>
                <c:pt idx="27">
                  <c:v>0.67534144474984414</c:v>
                </c:pt>
                <c:pt idx="28">
                  <c:v>0.44574074216275361</c:v>
                </c:pt>
                <c:pt idx="29">
                  <c:v>0.56947856644102746</c:v>
                </c:pt>
                <c:pt idx="30">
                  <c:v>0.32999763645712848</c:v>
                </c:pt>
                <c:pt idx="31">
                  <c:v>0.24925350019732559</c:v>
                </c:pt>
                <c:pt idx="32">
                  <c:v>0.19954260524551601</c:v>
                </c:pt>
                <c:pt idx="33">
                  <c:v>0.28472263463872871</c:v>
                </c:pt>
                <c:pt idx="34">
                  <c:v>0.14581630783390989</c:v>
                </c:pt>
                <c:pt idx="35">
                  <c:v>0.20818348729900171</c:v>
                </c:pt>
                <c:pt idx="36">
                  <c:v>0.24417335977784399</c:v>
                </c:pt>
                <c:pt idx="37">
                  <c:v>0.18556848996069361</c:v>
                </c:pt>
                <c:pt idx="38">
                  <c:v>0.27318550756992288</c:v>
                </c:pt>
                <c:pt idx="39">
                  <c:v>0.2986400911485364</c:v>
                </c:pt>
                <c:pt idx="40">
                  <c:v>0.25351786620235078</c:v>
                </c:pt>
                <c:pt idx="41">
                  <c:v>0.22019953765668909</c:v>
                </c:pt>
                <c:pt idx="42">
                  <c:v>0.1988142273681078</c:v>
                </c:pt>
                <c:pt idx="43">
                  <c:v>0.1645104628113804</c:v>
                </c:pt>
                <c:pt idx="44">
                  <c:v>0.14901510167184581</c:v>
                </c:pt>
                <c:pt idx="45">
                  <c:v>0.23750873310000059</c:v>
                </c:pt>
                <c:pt idx="46">
                  <c:v>0.35445015548134062</c:v>
                </c:pt>
                <c:pt idx="47">
                  <c:v>0.18125933338571371</c:v>
                </c:pt>
                <c:pt idx="48">
                  <c:v>0.14950410994665519</c:v>
                </c:pt>
                <c:pt idx="49">
                  <c:v>0.15141928590345771</c:v>
                </c:pt>
                <c:pt idx="50">
                  <c:v>0.15173087514232411</c:v>
                </c:pt>
                <c:pt idx="51">
                  <c:v>0.1492109599459315</c:v>
                </c:pt>
                <c:pt idx="52">
                  <c:v>0.17234316701712299</c:v>
                </c:pt>
                <c:pt idx="53">
                  <c:v>0.1896687387375052</c:v>
                </c:pt>
                <c:pt idx="54">
                  <c:v>0.228418099333494</c:v>
                </c:pt>
                <c:pt idx="55">
                  <c:v>0.14023845685478581</c:v>
                </c:pt>
                <c:pt idx="56">
                  <c:v>0.22145849023031031</c:v>
                </c:pt>
                <c:pt idx="57">
                  <c:v>0.153934769467194</c:v>
                </c:pt>
                <c:pt idx="58">
                  <c:v>0.1303726673426967</c:v>
                </c:pt>
                <c:pt idx="59">
                  <c:v>0.1766867827623487</c:v>
                </c:pt>
                <c:pt idx="60">
                  <c:v>0.109261392112845</c:v>
                </c:pt>
                <c:pt idx="61">
                  <c:v>0.1033322130819338</c:v>
                </c:pt>
                <c:pt idx="62">
                  <c:v>0.11788222630648459</c:v>
                </c:pt>
                <c:pt idx="63">
                  <c:v>0.11313496298160899</c:v>
                </c:pt>
                <c:pt idx="64">
                  <c:v>0.14237126210986811</c:v>
                </c:pt>
                <c:pt idx="65">
                  <c:v>0.13349226227241379</c:v>
                </c:pt>
                <c:pt idx="66">
                  <c:v>0.14833756696822781</c:v>
                </c:pt>
                <c:pt idx="67">
                  <c:v>0.21809027028804129</c:v>
                </c:pt>
                <c:pt idx="68">
                  <c:v>0.12606877236480341</c:v>
                </c:pt>
                <c:pt idx="69">
                  <c:v>0.16789514341839951</c:v>
                </c:pt>
                <c:pt idx="70">
                  <c:v>0.20507842394937431</c:v>
                </c:pt>
                <c:pt idx="71">
                  <c:v>0.1056335788817933</c:v>
                </c:pt>
                <c:pt idx="72">
                  <c:v>0.51057475106665906</c:v>
                </c:pt>
                <c:pt idx="73">
                  <c:v>0.33356599122879821</c:v>
                </c:pt>
                <c:pt idx="74">
                  <c:v>0.18003187336271981</c:v>
                </c:pt>
                <c:pt idx="75">
                  <c:v>0.14650658608063069</c:v>
                </c:pt>
                <c:pt idx="76">
                  <c:v>0.21547623067883351</c:v>
                </c:pt>
                <c:pt idx="77">
                  <c:v>0.15165641614123609</c:v>
                </c:pt>
                <c:pt idx="78">
                  <c:v>0.1159119026331292</c:v>
                </c:pt>
                <c:pt idx="79">
                  <c:v>0.17053887282630339</c:v>
                </c:pt>
                <c:pt idx="80">
                  <c:v>0.25497725424188389</c:v>
                </c:pt>
                <c:pt idx="81">
                  <c:v>0.21234792666114849</c:v>
                </c:pt>
                <c:pt idx="82">
                  <c:v>0.169084788380995</c:v>
                </c:pt>
                <c:pt idx="83">
                  <c:v>0.1486921247456264</c:v>
                </c:pt>
                <c:pt idx="84">
                  <c:v>0.13189655264461131</c:v>
                </c:pt>
                <c:pt idx="85">
                  <c:v>7.889968483712359E-2</c:v>
                </c:pt>
                <c:pt idx="86">
                  <c:v>8.5458813890078575E-2</c:v>
                </c:pt>
                <c:pt idx="87">
                  <c:v>0.1097883810115161</c:v>
                </c:pt>
                <c:pt idx="88">
                  <c:v>0.12926062700820001</c:v>
                </c:pt>
                <c:pt idx="89">
                  <c:v>0.20052468450575101</c:v>
                </c:pt>
                <c:pt idx="90">
                  <c:v>0.12514168005977019</c:v>
                </c:pt>
                <c:pt idx="91">
                  <c:v>0.13327168797628181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E-4F88-8201-421DD5D2898F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Индия - Волатильность (сезонность устранена) STL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Sheet1!$W$2:$W$93</c:f>
              <c:numCache>
                <c:formatCode>0.00%</c:formatCode>
                <c:ptCount val="92"/>
                <c:pt idx="0">
                  <c:v>0.163088773362461</c:v>
                </c:pt>
                <c:pt idx="1">
                  <c:v>0.17346790028509121</c:v>
                </c:pt>
                <c:pt idx="2">
                  <c:v>0.17384231234957359</c:v>
                </c:pt>
                <c:pt idx="3">
                  <c:v>0.17573196509719149</c:v>
                </c:pt>
                <c:pt idx="4">
                  <c:v>9.4768725504695728E-2</c:v>
                </c:pt>
                <c:pt idx="5">
                  <c:v>0.1705291628233796</c:v>
                </c:pt>
                <c:pt idx="6">
                  <c:v>0.23804663717620481</c:v>
                </c:pt>
                <c:pt idx="7">
                  <c:v>0.22526339202370069</c:v>
                </c:pt>
                <c:pt idx="8">
                  <c:v>0.1721475207744747</c:v>
                </c:pt>
                <c:pt idx="9">
                  <c:v>0.40278407336796052</c:v>
                </c:pt>
                <c:pt idx="10">
                  <c:v>0.1698364731845135</c:v>
                </c:pt>
                <c:pt idx="11">
                  <c:v>0.16769692196213859</c:v>
                </c:pt>
                <c:pt idx="12">
                  <c:v>0.16615774891105459</c:v>
                </c:pt>
                <c:pt idx="13">
                  <c:v>0.16595990447178161</c:v>
                </c:pt>
                <c:pt idx="14">
                  <c:v>0.16681070111486929</c:v>
                </c:pt>
                <c:pt idx="15">
                  <c:v>0.1770502218826418</c:v>
                </c:pt>
                <c:pt idx="16">
                  <c:v>0.1403982647193609</c:v>
                </c:pt>
                <c:pt idx="17">
                  <c:v>0.47679456362993561</c:v>
                </c:pt>
                <c:pt idx="18">
                  <c:v>0.22634982350702559</c:v>
                </c:pt>
                <c:pt idx="19">
                  <c:v>0.15071172542541361</c:v>
                </c:pt>
                <c:pt idx="20">
                  <c:v>0.24834544633122529</c:v>
                </c:pt>
                <c:pt idx="21">
                  <c:v>0.26283386055439839</c:v>
                </c:pt>
                <c:pt idx="22">
                  <c:v>0.27816564313605779</c:v>
                </c:pt>
                <c:pt idx="23">
                  <c:v>0.29317463685901118</c:v>
                </c:pt>
                <c:pt idx="24">
                  <c:v>0.44663751666633589</c:v>
                </c:pt>
                <c:pt idx="25">
                  <c:v>0.31731117700124101</c:v>
                </c:pt>
                <c:pt idx="26">
                  <c:v>0.47056898240241329</c:v>
                </c:pt>
                <c:pt idx="27">
                  <c:v>0.69989264768754755</c:v>
                </c:pt>
                <c:pt idx="28">
                  <c:v>0.33336233066633553</c:v>
                </c:pt>
                <c:pt idx="29">
                  <c:v>0.59720410023829607</c:v>
                </c:pt>
                <c:pt idx="30">
                  <c:v>0.32828029822676608</c:v>
                </c:pt>
                <c:pt idx="31">
                  <c:v>0.31955453278574819</c:v>
                </c:pt>
                <c:pt idx="32">
                  <c:v>0.14733710018890339</c:v>
                </c:pt>
                <c:pt idx="33">
                  <c:v>0.29393510242741627</c:v>
                </c:pt>
                <c:pt idx="34">
                  <c:v>0.1205234255515019</c:v>
                </c:pt>
                <c:pt idx="35">
                  <c:v>0.26576773781002871</c:v>
                </c:pt>
                <c:pt idx="36">
                  <c:v>0.25173050354118848</c:v>
                </c:pt>
                <c:pt idx="37">
                  <c:v>0.17509299072452711</c:v>
                </c:pt>
                <c:pt idx="38">
                  <c:v>0.22582502083138919</c:v>
                </c:pt>
                <c:pt idx="39">
                  <c:v>0.33291509554797938</c:v>
                </c:pt>
                <c:pt idx="40">
                  <c:v>0.26918699131233548</c:v>
                </c:pt>
                <c:pt idx="41">
                  <c:v>0.19212137105789781</c:v>
                </c:pt>
                <c:pt idx="42">
                  <c:v>0.1828471336546387</c:v>
                </c:pt>
                <c:pt idx="43">
                  <c:v>0.1766077442097668</c:v>
                </c:pt>
                <c:pt idx="44">
                  <c:v>0.1734277614951793</c:v>
                </c:pt>
                <c:pt idx="45">
                  <c:v>0.22661855428131519</c:v>
                </c:pt>
                <c:pt idx="46">
                  <c:v>0.34769637087626998</c:v>
                </c:pt>
                <c:pt idx="47">
                  <c:v>0.18481054330761271</c:v>
                </c:pt>
                <c:pt idx="48">
                  <c:v>0.15520484573924839</c:v>
                </c:pt>
                <c:pt idx="49">
                  <c:v>0.15834855557827471</c:v>
                </c:pt>
                <c:pt idx="50">
                  <c:v>0.15498570081456031</c:v>
                </c:pt>
                <c:pt idx="51">
                  <c:v>0.15026192813447781</c:v>
                </c:pt>
                <c:pt idx="52">
                  <c:v>0.1521196536487871</c:v>
                </c:pt>
                <c:pt idx="53">
                  <c:v>0.18646203736628211</c:v>
                </c:pt>
                <c:pt idx="54">
                  <c:v>0.23248822005333111</c:v>
                </c:pt>
                <c:pt idx="55">
                  <c:v>0.14769383176804191</c:v>
                </c:pt>
                <c:pt idx="56">
                  <c:v>0.21902939720830969</c:v>
                </c:pt>
                <c:pt idx="57">
                  <c:v>0.13968110427964181</c:v>
                </c:pt>
                <c:pt idx="58">
                  <c:v>0.1341760659660825</c:v>
                </c:pt>
                <c:pt idx="59">
                  <c:v>0.18279676516179141</c:v>
                </c:pt>
                <c:pt idx="60">
                  <c:v>0.1235326344951163</c:v>
                </c:pt>
                <c:pt idx="61">
                  <c:v>9.1416667750922706E-2</c:v>
                </c:pt>
                <c:pt idx="62">
                  <c:v>0.1125758159745576</c:v>
                </c:pt>
                <c:pt idx="63">
                  <c:v>0.1176563528180357</c:v>
                </c:pt>
                <c:pt idx="64">
                  <c:v>0.1545550010673771</c:v>
                </c:pt>
                <c:pt idx="65">
                  <c:v>0.1241789234002887</c:v>
                </c:pt>
                <c:pt idx="66">
                  <c:v>0.12814416161915559</c:v>
                </c:pt>
                <c:pt idx="67">
                  <c:v>0.24273735581386829</c:v>
                </c:pt>
                <c:pt idx="68">
                  <c:v>0.1364124643617394</c:v>
                </c:pt>
                <c:pt idx="69">
                  <c:v>0.1407769178849832</c:v>
                </c:pt>
                <c:pt idx="70">
                  <c:v>0.1883603670106572</c:v>
                </c:pt>
                <c:pt idx="71">
                  <c:v>0.1504504927717665</c:v>
                </c:pt>
                <c:pt idx="72">
                  <c:v>0.49632626547461012</c:v>
                </c:pt>
                <c:pt idx="73">
                  <c:v>0.33448667322332998</c:v>
                </c:pt>
                <c:pt idx="74">
                  <c:v>0.16729191451969341</c:v>
                </c:pt>
                <c:pt idx="75">
                  <c:v>0.17411798120977401</c:v>
                </c:pt>
                <c:pt idx="76">
                  <c:v>0.1779013147505738</c:v>
                </c:pt>
                <c:pt idx="77">
                  <c:v>0.1820983063113446</c:v>
                </c:pt>
                <c:pt idx="78">
                  <c:v>0.1117652058749998</c:v>
                </c:pt>
                <c:pt idx="79">
                  <c:v>0.18794244252768971</c:v>
                </c:pt>
                <c:pt idx="80">
                  <c:v>0.248408181125294</c:v>
                </c:pt>
                <c:pt idx="81">
                  <c:v>0.17978135566074691</c:v>
                </c:pt>
                <c:pt idx="82">
                  <c:v>0.17268204751977509</c:v>
                </c:pt>
                <c:pt idx="83">
                  <c:v>0.16588423030544591</c:v>
                </c:pt>
                <c:pt idx="84">
                  <c:v>0.13114161964500379</c:v>
                </c:pt>
                <c:pt idx="85">
                  <c:v>4.0503551966296132E-2</c:v>
                </c:pt>
                <c:pt idx="86">
                  <c:v>0.10042847288557449</c:v>
                </c:pt>
                <c:pt idx="87">
                  <c:v>0.1310428692455689</c:v>
                </c:pt>
                <c:pt idx="88">
                  <c:v>0.1426439539584019</c:v>
                </c:pt>
                <c:pt idx="89">
                  <c:v>0.1421283045648517</c:v>
                </c:pt>
                <c:pt idx="90">
                  <c:v>0.15108495107236181</c:v>
                </c:pt>
                <c:pt idx="91">
                  <c:v>0.15828168741382509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E-4F88-8201-421DD5D2898F}"/>
            </c:ext>
          </c:extLst>
        </c:ser>
        <c:ser>
          <c:idx val="2"/>
          <c:order val="2"/>
          <c:tx>
            <c:strRef>
              <c:f>Sheet1!$X$1</c:f>
              <c:strCache>
                <c:ptCount val="1"/>
                <c:pt idx="0">
                  <c:v>Китай - Волатильность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Sheet1!$X$2:$X$93</c:f>
              <c:numCache>
                <c:formatCode>0.00%</c:formatCode>
                <c:ptCount val="92"/>
                <c:pt idx="0">
                  <c:v>0.25136604479006341</c:v>
                </c:pt>
                <c:pt idx="1">
                  <c:v>0.16669814789454579</c:v>
                </c:pt>
                <c:pt idx="2">
                  <c:v>0.22238453979122819</c:v>
                </c:pt>
                <c:pt idx="3">
                  <c:v>0.22200828889407551</c:v>
                </c:pt>
                <c:pt idx="4">
                  <c:v>0.17531780689729759</c:v>
                </c:pt>
                <c:pt idx="5">
                  <c:v>0.20160439475749281</c:v>
                </c:pt>
                <c:pt idx="6">
                  <c:v>0.25235730890849528</c:v>
                </c:pt>
                <c:pt idx="7">
                  <c:v>0.25299864961829582</c:v>
                </c:pt>
                <c:pt idx="8">
                  <c:v>0.28033969231514788</c:v>
                </c:pt>
                <c:pt idx="9">
                  <c:v>0.38095647573291652</c:v>
                </c:pt>
                <c:pt idx="10">
                  <c:v>0.1831007119816247</c:v>
                </c:pt>
                <c:pt idx="11">
                  <c:v>0.1665124934183809</c:v>
                </c:pt>
                <c:pt idx="12">
                  <c:v>0.1548542154375887</c:v>
                </c:pt>
                <c:pt idx="13">
                  <c:v>0.14476198117351341</c:v>
                </c:pt>
                <c:pt idx="14">
                  <c:v>0.16731816190059801</c:v>
                </c:pt>
                <c:pt idx="15">
                  <c:v>0.1581187728314884</c:v>
                </c:pt>
                <c:pt idx="16">
                  <c:v>0.18648590674890919</c:v>
                </c:pt>
                <c:pt idx="17">
                  <c:v>0.29243318407726709</c:v>
                </c:pt>
                <c:pt idx="18">
                  <c:v>0.14399969079605701</c:v>
                </c:pt>
                <c:pt idx="19">
                  <c:v>0.19842892166151219</c:v>
                </c:pt>
                <c:pt idx="20">
                  <c:v>0.26138395566920042</c:v>
                </c:pt>
                <c:pt idx="21">
                  <c:v>0.20654603927572401</c:v>
                </c:pt>
                <c:pt idx="22">
                  <c:v>0.37356639033859418</c:v>
                </c:pt>
                <c:pt idx="23">
                  <c:v>0.42917816123929531</c:v>
                </c:pt>
                <c:pt idx="24">
                  <c:v>0.57584171419220542</c:v>
                </c:pt>
                <c:pt idx="25">
                  <c:v>0.30687311030891712</c:v>
                </c:pt>
                <c:pt idx="26">
                  <c:v>0.47375762248627151</c:v>
                </c:pt>
                <c:pt idx="27">
                  <c:v>0.82571155849904787</c:v>
                </c:pt>
                <c:pt idx="28">
                  <c:v>0.43174953314284747</c:v>
                </c:pt>
                <c:pt idx="29">
                  <c:v>0.3544331529103123</c:v>
                </c:pt>
                <c:pt idx="30">
                  <c:v>0.28055549575418959</c:v>
                </c:pt>
                <c:pt idx="31">
                  <c:v>0.23109868826684979</c:v>
                </c:pt>
                <c:pt idx="32">
                  <c:v>0.23108026524099601</c:v>
                </c:pt>
                <c:pt idx="33">
                  <c:v>0.25084415031345808</c:v>
                </c:pt>
                <c:pt idx="34">
                  <c:v>0.1480886514910435</c:v>
                </c:pt>
                <c:pt idx="35">
                  <c:v>0.1836029893181258</c:v>
                </c:pt>
                <c:pt idx="36">
                  <c:v>0.18967457482989769</c:v>
                </c:pt>
                <c:pt idx="37">
                  <c:v>0.1526484609811482</c:v>
                </c:pt>
                <c:pt idx="38">
                  <c:v>0.34084045741855368</c:v>
                </c:pt>
                <c:pt idx="39">
                  <c:v>0.37951962382350019</c:v>
                </c:pt>
                <c:pt idx="40">
                  <c:v>0.20554589873951559</c:v>
                </c:pt>
                <c:pt idx="41">
                  <c:v>0.2001713620076381</c:v>
                </c:pt>
                <c:pt idx="42">
                  <c:v>0.18276318348805859</c:v>
                </c:pt>
                <c:pt idx="43">
                  <c:v>0.13630305907235371</c:v>
                </c:pt>
                <c:pt idx="44">
                  <c:v>0.16825942850319631</c:v>
                </c:pt>
                <c:pt idx="45">
                  <c:v>0.2029833351114376</c:v>
                </c:pt>
                <c:pt idx="46">
                  <c:v>0.18209394372556789</c:v>
                </c:pt>
                <c:pt idx="47">
                  <c:v>0.15822697934436569</c:v>
                </c:pt>
                <c:pt idx="48">
                  <c:v>0.18664122374099659</c:v>
                </c:pt>
                <c:pt idx="49">
                  <c:v>0.1291410538875466</c:v>
                </c:pt>
                <c:pt idx="50">
                  <c:v>0.1404271641855894</c:v>
                </c:pt>
                <c:pt idx="51">
                  <c:v>0.18365603878177769</c:v>
                </c:pt>
                <c:pt idx="52">
                  <c:v>0.15116204380012621</c:v>
                </c:pt>
                <c:pt idx="53">
                  <c:v>0.26347673988840542</c:v>
                </c:pt>
                <c:pt idx="54">
                  <c:v>0.33812948056997622</c:v>
                </c:pt>
                <c:pt idx="55">
                  <c:v>0.1915884010947338</c:v>
                </c:pt>
                <c:pt idx="56">
                  <c:v>0.28442913886710081</c:v>
                </c:pt>
                <c:pt idx="57">
                  <c:v>0.17004915780072849</c:v>
                </c:pt>
                <c:pt idx="58">
                  <c:v>0.15041068029395421</c:v>
                </c:pt>
                <c:pt idx="59">
                  <c:v>0.1381576026304269</c:v>
                </c:pt>
                <c:pt idx="60">
                  <c:v>0.1157005191519479</c:v>
                </c:pt>
                <c:pt idx="61">
                  <c:v>0.1081029233111386</c:v>
                </c:pt>
                <c:pt idx="62">
                  <c:v>0.13755683823848819</c:v>
                </c:pt>
                <c:pt idx="63">
                  <c:v>0.15386160720265321</c:v>
                </c:pt>
                <c:pt idx="64">
                  <c:v>0.23541767859020701</c:v>
                </c:pt>
                <c:pt idx="65">
                  <c:v>0.17856369254659091</c:v>
                </c:pt>
                <c:pt idx="66">
                  <c:v>0.20423963866598099</c:v>
                </c:pt>
                <c:pt idx="67">
                  <c:v>0.25469209521303271</c:v>
                </c:pt>
                <c:pt idx="68">
                  <c:v>0.18530614820733279</c:v>
                </c:pt>
                <c:pt idx="69">
                  <c:v>0.17017060906229889</c:v>
                </c:pt>
                <c:pt idx="70">
                  <c:v>0.15991305964054431</c:v>
                </c:pt>
                <c:pt idx="71">
                  <c:v>0.13020710831505089</c:v>
                </c:pt>
                <c:pt idx="72">
                  <c:v>0.3151166279897985</c:v>
                </c:pt>
                <c:pt idx="73">
                  <c:v>0.20582010720018101</c:v>
                </c:pt>
                <c:pt idx="74">
                  <c:v>0.24575877794708481</c:v>
                </c:pt>
                <c:pt idx="75">
                  <c:v>0.18764356246529329</c:v>
                </c:pt>
                <c:pt idx="76">
                  <c:v>0.28126515091385068</c:v>
                </c:pt>
                <c:pt idx="77">
                  <c:v>0.15750019175548119</c:v>
                </c:pt>
                <c:pt idx="78">
                  <c:v>0.30474513235052247</c:v>
                </c:pt>
                <c:pt idx="79">
                  <c:v>0.21022381131649881</c:v>
                </c:pt>
                <c:pt idx="80">
                  <c:v>0.4629720994874002</c:v>
                </c:pt>
                <c:pt idx="81">
                  <c:v>0.33355907190722139</c:v>
                </c:pt>
                <c:pt idx="82">
                  <c:v>0.2160757789086008</c:v>
                </c:pt>
                <c:pt idx="83">
                  <c:v>0.43273287241340191</c:v>
                </c:pt>
                <c:pt idx="84">
                  <c:v>0.26419972192217162</c:v>
                </c:pt>
                <c:pt idx="85">
                  <c:v>0.19744182715247541</c:v>
                </c:pt>
                <c:pt idx="86">
                  <c:v>0.23538627425594261</c:v>
                </c:pt>
                <c:pt idx="87">
                  <c:v>0.21762405553101699</c:v>
                </c:pt>
                <c:pt idx="88">
                  <c:v>0.24129562375191721</c:v>
                </c:pt>
                <c:pt idx="89">
                  <c:v>0.18531283098221449</c:v>
                </c:pt>
                <c:pt idx="90">
                  <c:v>0.2475812342849317</c:v>
                </c:pt>
                <c:pt idx="91">
                  <c:v>0.31035907999405948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FE-4F88-8201-421DD5D2898F}"/>
            </c:ext>
          </c:extLst>
        </c:ser>
        <c:ser>
          <c:idx val="3"/>
          <c:order val="3"/>
          <c:tx>
            <c:strRef>
              <c:f>Sheet1!$Y$1</c:f>
              <c:strCache>
                <c:ptCount val="1"/>
                <c:pt idx="0">
                  <c:v>Китай - Волатильность (сезонность устранена) STL</c:v>
                </c:pt>
              </c:strCache>
            </c:strRef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Sheet1!$Y$2:$Y$93</c:f>
              <c:numCache>
                <c:formatCode>0.00%</c:formatCode>
                <c:ptCount val="92"/>
                <c:pt idx="0">
                  <c:v>0.2080026246503297</c:v>
                </c:pt>
                <c:pt idx="1">
                  <c:v>0.2125257746258585</c:v>
                </c:pt>
                <c:pt idx="2">
                  <c:v>0.22274760370507901</c:v>
                </c:pt>
                <c:pt idx="3">
                  <c:v>0.23080322224745681</c:v>
                </c:pt>
                <c:pt idx="4">
                  <c:v>0.121605542149859</c:v>
                </c:pt>
                <c:pt idx="5">
                  <c:v>0.2397798150758837</c:v>
                </c:pt>
                <c:pt idx="6">
                  <c:v>0.25597611990575342</c:v>
                </c:pt>
                <c:pt idx="7">
                  <c:v>0.2646536734054778</c:v>
                </c:pt>
                <c:pt idx="8">
                  <c:v>0.21599490250113021</c:v>
                </c:pt>
                <c:pt idx="9">
                  <c:v>0.4116564905159219</c:v>
                </c:pt>
                <c:pt idx="10">
                  <c:v>0.1926309381795836</c:v>
                </c:pt>
                <c:pt idx="11">
                  <c:v>0.18644781260105159</c:v>
                </c:pt>
                <c:pt idx="12">
                  <c:v>0.10596803169117421</c:v>
                </c:pt>
                <c:pt idx="13">
                  <c:v>0.17091270991198751</c:v>
                </c:pt>
                <c:pt idx="14">
                  <c:v>0.1638286437986618</c:v>
                </c:pt>
                <c:pt idx="15">
                  <c:v>0.15753376522708559</c:v>
                </c:pt>
                <c:pt idx="16">
                  <c:v>0.15200079037875019</c:v>
                </c:pt>
                <c:pt idx="17">
                  <c:v>0.35887891479785178</c:v>
                </c:pt>
                <c:pt idx="18">
                  <c:v>0.120451889114827</c:v>
                </c:pt>
                <c:pt idx="19">
                  <c:v>0.15548086776027431</c:v>
                </c:pt>
                <c:pt idx="20">
                  <c:v>0.30026094554668509</c:v>
                </c:pt>
                <c:pt idx="21">
                  <c:v>0.31809360734428332</c:v>
                </c:pt>
                <c:pt idx="22">
                  <c:v>0.33386508632943862</c:v>
                </c:pt>
                <c:pt idx="23">
                  <c:v>0.34640124101204312</c:v>
                </c:pt>
                <c:pt idx="24">
                  <c:v>0.55419782494779157</c:v>
                </c:pt>
                <c:pt idx="25">
                  <c:v>0.35903697452126743</c:v>
                </c:pt>
                <c:pt idx="26">
                  <c:v>0.47389056243747418</c:v>
                </c:pt>
                <c:pt idx="27">
                  <c:v>0.81752896598106928</c:v>
                </c:pt>
                <c:pt idx="28">
                  <c:v>0.34646706657609577</c:v>
                </c:pt>
                <c:pt idx="29">
                  <c:v>0.37611287192115223</c:v>
                </c:pt>
                <c:pt idx="30">
                  <c:v>0.3164781655149968</c:v>
                </c:pt>
                <c:pt idx="31">
                  <c:v>0.29325843078989888</c:v>
                </c:pt>
                <c:pt idx="32">
                  <c:v>0.16831857432140801</c:v>
                </c:pt>
                <c:pt idx="33">
                  <c:v>0.2385849186006912</c:v>
                </c:pt>
                <c:pt idx="34">
                  <c:v>0.20970757479134519</c:v>
                </c:pt>
                <c:pt idx="35">
                  <c:v>0.1799622364642797</c:v>
                </c:pt>
                <c:pt idx="36">
                  <c:v>0.15002199639811889</c:v>
                </c:pt>
                <c:pt idx="37">
                  <c:v>0.1364947017739202</c:v>
                </c:pt>
                <c:pt idx="38">
                  <c:v>0.36863925247460011</c:v>
                </c:pt>
                <c:pt idx="39">
                  <c:v>0.39750753147301021</c:v>
                </c:pt>
                <c:pt idx="40">
                  <c:v>0.18780037368993441</c:v>
                </c:pt>
                <c:pt idx="41">
                  <c:v>0.18152316746001351</c:v>
                </c:pt>
                <c:pt idx="42">
                  <c:v>0.1772519010913898</c:v>
                </c:pt>
                <c:pt idx="43">
                  <c:v>0.17573575863118121</c:v>
                </c:pt>
                <c:pt idx="44">
                  <c:v>0.16097243748798359</c:v>
                </c:pt>
                <c:pt idx="45">
                  <c:v>0.1779841852845836</c:v>
                </c:pt>
                <c:pt idx="46">
                  <c:v>0.19405047074821391</c:v>
                </c:pt>
                <c:pt idx="47">
                  <c:v>0.1797265105100031</c:v>
                </c:pt>
                <c:pt idx="48">
                  <c:v>0.19351551083974031</c:v>
                </c:pt>
                <c:pt idx="49">
                  <c:v>7.5340360774964199E-2</c:v>
                </c:pt>
                <c:pt idx="50">
                  <c:v>0.18331323939614599</c:v>
                </c:pt>
                <c:pt idx="51">
                  <c:v>0.18379715492175999</c:v>
                </c:pt>
                <c:pt idx="52">
                  <c:v>0.17956926042015009</c:v>
                </c:pt>
                <c:pt idx="53">
                  <c:v>0.1796389042781491</c:v>
                </c:pt>
                <c:pt idx="54">
                  <c:v>0.35945841451532701</c:v>
                </c:pt>
                <c:pt idx="55">
                  <c:v>0.18693943099863169</c:v>
                </c:pt>
                <c:pt idx="56">
                  <c:v>0.31500845222127682</c:v>
                </c:pt>
                <c:pt idx="57">
                  <c:v>0.15978856612413911</c:v>
                </c:pt>
                <c:pt idx="58">
                  <c:v>0.15167382049627059</c:v>
                </c:pt>
                <c:pt idx="59">
                  <c:v>0.1414759779652274</c:v>
                </c:pt>
                <c:pt idx="60">
                  <c:v>0.15092244310247291</c:v>
                </c:pt>
                <c:pt idx="61">
                  <c:v>0.1057553143767717</c:v>
                </c:pt>
                <c:pt idx="62">
                  <c:v>0.12943296302390009</c:v>
                </c:pt>
                <c:pt idx="63">
                  <c:v>0.17202816418828251</c:v>
                </c:pt>
                <c:pt idx="64">
                  <c:v>0.1787082937454485</c:v>
                </c:pt>
                <c:pt idx="65">
                  <c:v>0.18377692406475371</c:v>
                </c:pt>
                <c:pt idx="66">
                  <c:v>0.18547152965891761</c:v>
                </c:pt>
                <c:pt idx="67">
                  <c:v>0.30002694446942041</c:v>
                </c:pt>
                <c:pt idx="68">
                  <c:v>0.12787566570230841</c:v>
                </c:pt>
                <c:pt idx="69">
                  <c:v>0.1834770243336428</c:v>
                </c:pt>
                <c:pt idx="70">
                  <c:v>0.14295240217084301</c:v>
                </c:pt>
                <c:pt idx="71">
                  <c:v>0.2003825983234401</c:v>
                </c:pt>
                <c:pt idx="72">
                  <c:v>0.28525825209597322</c:v>
                </c:pt>
                <c:pt idx="73">
                  <c:v>0.22083801268599371</c:v>
                </c:pt>
                <c:pt idx="74">
                  <c:v>0.23239722573266189</c:v>
                </c:pt>
                <c:pt idx="75">
                  <c:v>0.24946229186354721</c:v>
                </c:pt>
                <c:pt idx="76">
                  <c:v>0.25319708806187152</c:v>
                </c:pt>
                <c:pt idx="77">
                  <c:v>0.13544115749125421</c:v>
                </c:pt>
                <c:pt idx="78">
                  <c:v>0.26911705805862041</c:v>
                </c:pt>
                <c:pt idx="79">
                  <c:v>0.27429122723181321</c:v>
                </c:pt>
                <c:pt idx="80">
                  <c:v>0.44601665224662379</c:v>
                </c:pt>
                <c:pt idx="81">
                  <c:v>0.27465685564780939</c:v>
                </c:pt>
                <c:pt idx="82">
                  <c:v>0.20391954838683671</c:v>
                </c:pt>
                <c:pt idx="83">
                  <c:v>0.4970357507591161</c:v>
                </c:pt>
                <c:pt idx="84">
                  <c:v>0.25475216278011031</c:v>
                </c:pt>
                <c:pt idx="85">
                  <c:v>0.19510756103503379</c:v>
                </c:pt>
                <c:pt idx="86">
                  <c:v>0.22685616713562501</c:v>
                </c:pt>
                <c:pt idx="87">
                  <c:v>0.19390515156285809</c:v>
                </c:pt>
                <c:pt idx="88">
                  <c:v>0.2378410093831744</c:v>
                </c:pt>
                <c:pt idx="89">
                  <c:v>0.2388585721307479</c:v>
                </c:pt>
                <c:pt idx="90">
                  <c:v>0.24498380765720759</c:v>
                </c:pt>
                <c:pt idx="91">
                  <c:v>0.24094360302682971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7B3-9EC7-353E2AF7D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497039"/>
        <c:axId val="2015498703"/>
      </c:lineChart>
      <c:dateAx>
        <c:axId val="201549703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498703"/>
        <c:crosses val="autoZero"/>
        <c:auto val="1"/>
        <c:lblOffset val="100"/>
        <c:baseTimeUnit val="months"/>
        <c:majorUnit val="5"/>
        <c:majorTimeUnit val="years"/>
      </c:dateAx>
      <c:valAx>
        <c:axId val="20154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4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6181109012925385"/>
          <c:w val="0.86543020833333328"/>
          <c:h val="0.21691232006692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Индия - Цена/прибыль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Sheet1!$AA$2:$AA$93</c:f>
              <c:numCache>
                <c:formatCode>_(* #,##0.00_);_(* \(#,##0.00\);_(* "-"??_);_(@_)</c:formatCode>
                <c:ptCount val="92"/>
                <c:pt idx="0">
                  <c:v>15.638810992882</c:v>
                </c:pt>
                <c:pt idx="1">
                  <c:v>13.506376125749039</c:v>
                </c:pt>
                <c:pt idx="2">
                  <c:v>12.49149550137242</c:v>
                </c:pt>
                <c:pt idx="3">
                  <c:v>13.77692893932266</c:v>
                </c:pt>
                <c:pt idx="4">
                  <c:v>11.64762572939517</c:v>
                </c:pt>
                <c:pt idx="5">
                  <c:v>13.515659252465291</c:v>
                </c:pt>
                <c:pt idx="6">
                  <c:v>15.98374066508582</c:v>
                </c:pt>
                <c:pt idx="7">
                  <c:v>21.406652495978989</c:v>
                </c:pt>
                <c:pt idx="8">
                  <c:v>21.110934579861311</c:v>
                </c:pt>
                <c:pt idx="9">
                  <c:v>13.43199926711883</c:v>
                </c:pt>
                <c:pt idx="10">
                  <c:v>15.46589877717931</c:v>
                </c:pt>
                <c:pt idx="11">
                  <c:v>18.579325263929569</c:v>
                </c:pt>
                <c:pt idx="12">
                  <c:v>17.907472948453449</c:v>
                </c:pt>
                <c:pt idx="13">
                  <c:v>15.523387055879949</c:v>
                </c:pt>
                <c:pt idx="14">
                  <c:v>18.28673900501737</c:v>
                </c:pt>
                <c:pt idx="15">
                  <c:v>20.343007495117011</c:v>
                </c:pt>
                <c:pt idx="16">
                  <c:v>24.171570273719151</c:v>
                </c:pt>
                <c:pt idx="17">
                  <c:v>18.58033186803133</c:v>
                </c:pt>
                <c:pt idx="18">
                  <c:v>22.189007572848549</c:v>
                </c:pt>
                <c:pt idx="19">
                  <c:v>26.038261657986919</c:v>
                </c:pt>
                <c:pt idx="20">
                  <c:v>23.284975749867119</c:v>
                </c:pt>
                <c:pt idx="21">
                  <c:v>21.08878928962255</c:v>
                </c:pt>
                <c:pt idx="22">
                  <c:v>24.45543263041608</c:v>
                </c:pt>
                <c:pt idx="23">
                  <c:v>29.6184616512143</c:v>
                </c:pt>
                <c:pt idx="24">
                  <c:v>22.159704208997251</c:v>
                </c:pt>
                <c:pt idx="25">
                  <c:v>16.73321334129783</c:v>
                </c:pt>
                <c:pt idx="26">
                  <c:v>15.513432859762521</c:v>
                </c:pt>
                <c:pt idx="27">
                  <c:v>11.20069350821278</c:v>
                </c:pt>
                <c:pt idx="28">
                  <c:v>11.34866431117182</c:v>
                </c:pt>
                <c:pt idx="29">
                  <c:v>17.718119532421969</c:v>
                </c:pt>
                <c:pt idx="30">
                  <c:v>21.40609327147801</c:v>
                </c:pt>
                <c:pt idx="31">
                  <c:v>22.282286219611841</c:v>
                </c:pt>
                <c:pt idx="32">
                  <c:v>22.66703267628537</c:v>
                </c:pt>
                <c:pt idx="33">
                  <c:v>21.924606228785699</c:v>
                </c:pt>
                <c:pt idx="34">
                  <c:v>24.40275368242386</c:v>
                </c:pt>
                <c:pt idx="35">
                  <c:v>20.512676208714019</c:v>
                </c:pt>
                <c:pt idx="36">
                  <c:v>19.42364241550759</c:v>
                </c:pt>
                <c:pt idx="37">
                  <c:v>18.002988493220649</c:v>
                </c:pt>
                <c:pt idx="38">
                  <c:v>15.78118955083125</c:v>
                </c:pt>
                <c:pt idx="39">
                  <c:v>12.56598420490282</c:v>
                </c:pt>
                <c:pt idx="40">
                  <c:v>14.217597846094071</c:v>
                </c:pt>
                <c:pt idx="41">
                  <c:v>15.19791839631019</c:v>
                </c:pt>
                <c:pt idx="42">
                  <c:v>16.534800488350491</c:v>
                </c:pt>
                <c:pt idx="43">
                  <c:v>17.183948289086871</c:v>
                </c:pt>
                <c:pt idx="44">
                  <c:v>16.168843974909858</c:v>
                </c:pt>
                <c:pt idx="45">
                  <c:v>15.925805006784399</c:v>
                </c:pt>
                <c:pt idx="46">
                  <c:v>15.753675705383079</c:v>
                </c:pt>
                <c:pt idx="47">
                  <c:v>17.48704796861746</c:v>
                </c:pt>
                <c:pt idx="48">
                  <c:v>18.94729498557372</c:v>
                </c:pt>
                <c:pt idx="49">
                  <c:v>18.688597731420849</c:v>
                </c:pt>
                <c:pt idx="50">
                  <c:v>20.187319394044469</c:v>
                </c:pt>
                <c:pt idx="51">
                  <c:v>20.139002397159881</c:v>
                </c:pt>
                <c:pt idx="52">
                  <c:v>19.827626195014801</c:v>
                </c:pt>
                <c:pt idx="53">
                  <c:v>20.463128917927289</c:v>
                </c:pt>
                <c:pt idx="54">
                  <c:v>21.064071566679271</c:v>
                </c:pt>
                <c:pt idx="55">
                  <c:v>21.284182330264599</c:v>
                </c:pt>
                <c:pt idx="56">
                  <c:v>20.687042408119261</c:v>
                </c:pt>
                <c:pt idx="57">
                  <c:v>21.18408114458936</c:v>
                </c:pt>
                <c:pt idx="58">
                  <c:v>22.415493495745029</c:v>
                </c:pt>
                <c:pt idx="59">
                  <c:v>20.921581163829831</c:v>
                </c:pt>
                <c:pt idx="60">
                  <c:v>23.678557953656099</c:v>
                </c:pt>
                <c:pt idx="61">
                  <c:v>22.744317502320651</c:v>
                </c:pt>
                <c:pt idx="62">
                  <c:v>23.624984246462319</c:v>
                </c:pt>
                <c:pt idx="63">
                  <c:v>24.489433480075601</c:v>
                </c:pt>
                <c:pt idx="64">
                  <c:v>23.450170667456302</c:v>
                </c:pt>
                <c:pt idx="65">
                  <c:v>23.073029663996088</c:v>
                </c:pt>
                <c:pt idx="66">
                  <c:v>23.572640833170691</c:v>
                </c:pt>
                <c:pt idx="67">
                  <c:v>23.024712667111508</c:v>
                </c:pt>
                <c:pt idx="68">
                  <c:v>24.495808639386759</c:v>
                </c:pt>
                <c:pt idx="69">
                  <c:v>24.214518715394341</c:v>
                </c:pt>
                <c:pt idx="70">
                  <c:v>22.677434252003572</c:v>
                </c:pt>
                <c:pt idx="71">
                  <c:v>25.60072440842098</c:v>
                </c:pt>
                <c:pt idx="72">
                  <c:v>17.382696676734788</c:v>
                </c:pt>
                <c:pt idx="73">
                  <c:v>23.454197083863349</c:v>
                </c:pt>
                <c:pt idx="74">
                  <c:v>28.054825208517041</c:v>
                </c:pt>
                <c:pt idx="75">
                  <c:v>31.65458687478867</c:v>
                </c:pt>
                <c:pt idx="76">
                  <c:v>31.386237405748901</c:v>
                </c:pt>
                <c:pt idx="77">
                  <c:v>32.278826816251438</c:v>
                </c:pt>
                <c:pt idx="78">
                  <c:v>35.32967608134215</c:v>
                </c:pt>
                <c:pt idx="79">
                  <c:v>33.99828557390147</c:v>
                </c:pt>
                <c:pt idx="80">
                  <c:v>26.95561352939281</c:v>
                </c:pt>
                <c:pt idx="81">
                  <c:v>23.232744181475681</c:v>
                </c:pt>
                <c:pt idx="82">
                  <c:v>25.659554825923969</c:v>
                </c:pt>
                <c:pt idx="83">
                  <c:v>26.06790055653881</c:v>
                </c:pt>
                <c:pt idx="84">
                  <c:v>23.046857957350269</c:v>
                </c:pt>
                <c:pt idx="85">
                  <c:v>26.135343031356872</c:v>
                </c:pt>
                <c:pt idx="86">
                  <c:v>26.15692909709465</c:v>
                </c:pt>
                <c:pt idx="87">
                  <c:v>28.649616387758272</c:v>
                </c:pt>
                <c:pt idx="88">
                  <c:v>26.7405357863163</c:v>
                </c:pt>
                <c:pt idx="89">
                  <c:v>27.734725104156691</c:v>
                </c:pt>
                <c:pt idx="90">
                  <c:v>27.63</c:v>
                </c:pt>
                <c:pt idx="91">
                  <c:v>25.15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7-4952-94AB-059501D2BB9D}"/>
            </c:ext>
          </c:extLst>
        </c:ser>
        <c:ser>
          <c:idx val="1"/>
          <c:order val="1"/>
          <c:tx>
            <c:strRef>
              <c:f>Sheet1!$AB$1</c:f>
              <c:strCache>
                <c:ptCount val="1"/>
                <c:pt idx="0">
                  <c:v>Индия - Цена/прибыль (сезонность устранена) STL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Sheet1!$AB$2:$AB$93</c:f>
              <c:numCache>
                <c:formatCode>_(* #,##0.00_);_(* \(#,##0.00\);_(* "-"??_);_(@_)</c:formatCode>
                <c:ptCount val="92"/>
                <c:pt idx="0">
                  <c:v>2.23013336503822</c:v>
                </c:pt>
                <c:pt idx="1">
                  <c:v>16.89462036691997</c:v>
                </c:pt>
                <c:pt idx="2">
                  <c:v>16.777048069464328</c:v>
                </c:pt>
                <c:pt idx="3">
                  <c:v>16.722949371284699</c:v>
                </c:pt>
                <c:pt idx="4">
                  <c:v>2.5429645859562608</c:v>
                </c:pt>
                <c:pt idx="5">
                  <c:v>16.604782183202769</c:v>
                </c:pt>
                <c:pt idx="6">
                  <c:v>18.803185820198841</c:v>
                </c:pt>
                <c:pt idx="7">
                  <c:v>22.08975221605402</c:v>
                </c:pt>
                <c:pt idx="8">
                  <c:v>16.331626537768361</c:v>
                </c:pt>
                <c:pt idx="9">
                  <c:v>16.23460448121898</c:v>
                </c:pt>
                <c:pt idx="10">
                  <c:v>16.657303360908472</c:v>
                </c:pt>
                <c:pt idx="11">
                  <c:v>17.056289291665891</c:v>
                </c:pt>
                <c:pt idx="12">
                  <c:v>17.553629736497481</c:v>
                </c:pt>
                <c:pt idx="13">
                  <c:v>18.200852252071709</c:v>
                </c:pt>
                <c:pt idx="14">
                  <c:v>18.806838002537891</c:v>
                </c:pt>
                <c:pt idx="15">
                  <c:v>17.811863549502231</c:v>
                </c:pt>
                <c:pt idx="16">
                  <c:v>23.80234281927228</c:v>
                </c:pt>
                <c:pt idx="17">
                  <c:v>21.275738373277481</c:v>
                </c:pt>
                <c:pt idx="18">
                  <c:v>21.97905739695738</c:v>
                </c:pt>
                <c:pt idx="19">
                  <c:v>22.493276826933521</c:v>
                </c:pt>
                <c:pt idx="20">
                  <c:v>22.831168879527969</c:v>
                </c:pt>
                <c:pt idx="21">
                  <c:v>25.791341056645201</c:v>
                </c:pt>
                <c:pt idx="22">
                  <c:v>23.255809684510911</c:v>
                </c:pt>
                <c:pt idx="23">
                  <c:v>23.354692293931208</c:v>
                </c:pt>
                <c:pt idx="24">
                  <c:v>23.351963220444691</c:v>
                </c:pt>
                <c:pt idx="25">
                  <c:v>23.296083345807791</c:v>
                </c:pt>
                <c:pt idx="26">
                  <c:v>14.85754597477669</c:v>
                </c:pt>
                <c:pt idx="27">
                  <c:v>7.3242754845791129</c:v>
                </c:pt>
                <c:pt idx="28">
                  <c:v>10.7735593267686</c:v>
                </c:pt>
                <c:pt idx="29">
                  <c:v>21.828616314575601</c:v>
                </c:pt>
                <c:pt idx="30">
                  <c:v>21.345360768206959</c:v>
                </c:pt>
                <c:pt idx="31">
                  <c:v>20.873762088040142</c:v>
                </c:pt>
                <c:pt idx="32">
                  <c:v>20.42474830323037</c:v>
                </c:pt>
                <c:pt idx="33">
                  <c:v>24.0518872656091</c:v>
                </c:pt>
                <c:pt idx="34">
                  <c:v>25.314790343156801</c:v>
                </c:pt>
                <c:pt idx="35">
                  <c:v>19.09874570650528</c:v>
                </c:pt>
                <c:pt idx="36">
                  <c:v>18.63877584158984</c:v>
                </c:pt>
                <c:pt idx="37">
                  <c:v>18.148843992448921</c:v>
                </c:pt>
                <c:pt idx="38">
                  <c:v>17.63611250332233</c:v>
                </c:pt>
                <c:pt idx="39">
                  <c:v>11.465220926747341</c:v>
                </c:pt>
                <c:pt idx="40">
                  <c:v>14.063900985119901</c:v>
                </c:pt>
                <c:pt idx="41">
                  <c:v>15.856362426039089</c:v>
                </c:pt>
                <c:pt idx="42">
                  <c:v>16.10973444523577</c:v>
                </c:pt>
                <c:pt idx="43">
                  <c:v>16.373690897064741</c:v>
                </c:pt>
                <c:pt idx="44">
                  <c:v>16.646578903672889</c:v>
                </c:pt>
                <c:pt idx="45">
                  <c:v>16.957827987237199</c:v>
                </c:pt>
                <c:pt idx="46">
                  <c:v>15.21975811260695</c:v>
                </c:pt>
                <c:pt idx="47">
                  <c:v>16.946938889269521</c:v>
                </c:pt>
                <c:pt idx="48">
                  <c:v>19.3084653544738</c:v>
                </c:pt>
                <c:pt idx="49">
                  <c:v>19.23624146178177</c:v>
                </c:pt>
                <c:pt idx="50">
                  <c:v>19.540134350196912</c:v>
                </c:pt>
                <c:pt idx="51">
                  <c:v>19.86414901471619</c:v>
                </c:pt>
                <c:pt idx="52">
                  <c:v>20.139233703052291</c:v>
                </c:pt>
                <c:pt idx="53">
                  <c:v>20.811036963583369</c:v>
                </c:pt>
                <c:pt idx="54">
                  <c:v>20.643906549328289</c:v>
                </c:pt>
                <c:pt idx="55">
                  <c:v>21.062932045751339</c:v>
                </c:pt>
                <c:pt idx="56">
                  <c:v>21.353749298883919</c:v>
                </c:pt>
                <c:pt idx="57">
                  <c:v>21.513487648982789</c:v>
                </c:pt>
                <c:pt idx="58">
                  <c:v>22.083634909681439</c:v>
                </c:pt>
                <c:pt idx="59">
                  <c:v>20.253190108875518</c:v>
                </c:pt>
                <c:pt idx="60">
                  <c:v>24.006615823555951</c:v>
                </c:pt>
                <c:pt idx="61">
                  <c:v>23.148882149544342</c:v>
                </c:pt>
                <c:pt idx="62">
                  <c:v>23.41428334626606</c:v>
                </c:pt>
                <c:pt idx="63">
                  <c:v>23.265580642440959</c:v>
                </c:pt>
                <c:pt idx="64">
                  <c:v>23.327387039892962</c:v>
                </c:pt>
                <c:pt idx="65">
                  <c:v>23.5641118457443</c:v>
                </c:pt>
                <c:pt idx="66">
                  <c:v>23.752750404643969</c:v>
                </c:pt>
                <c:pt idx="67">
                  <c:v>22.903842757489869</c:v>
                </c:pt>
                <c:pt idx="68">
                  <c:v>24.61313528076272</c:v>
                </c:pt>
                <c:pt idx="69">
                  <c:v>25.23667004633365</c:v>
                </c:pt>
                <c:pt idx="70">
                  <c:v>23.302896499476219</c:v>
                </c:pt>
                <c:pt idx="71">
                  <c:v>26.83484739594979</c:v>
                </c:pt>
                <c:pt idx="72">
                  <c:v>16.81684842564437</c:v>
                </c:pt>
                <c:pt idx="73">
                  <c:v>22.851664366809171</c:v>
                </c:pt>
                <c:pt idx="74">
                  <c:v>29.210496691752741</c:v>
                </c:pt>
                <c:pt idx="75">
                  <c:v>29.807993567469062</c:v>
                </c:pt>
                <c:pt idx="76">
                  <c:v>30.049929727898451</c:v>
                </c:pt>
                <c:pt idx="77">
                  <c:v>29.901065704323639</c:v>
                </c:pt>
                <c:pt idx="78">
                  <c:v>37.073460335193857</c:v>
                </c:pt>
                <c:pt idx="79">
                  <c:v>33.807765828271521</c:v>
                </c:pt>
                <c:pt idx="80">
                  <c:v>28.763784809554291</c:v>
                </c:pt>
                <c:pt idx="81">
                  <c:v>20.680573157893321</c:v>
                </c:pt>
                <c:pt idx="82">
                  <c:v>27.816852634549299</c:v>
                </c:pt>
                <c:pt idx="83">
                  <c:v>27.44906659251598</c:v>
                </c:pt>
                <c:pt idx="84">
                  <c:v>23.470210934031101</c:v>
                </c:pt>
                <c:pt idx="85">
                  <c:v>24.470343417161939</c:v>
                </c:pt>
                <c:pt idx="86">
                  <c:v>26.685581185334129</c:v>
                </c:pt>
                <c:pt idx="87">
                  <c:v>29.94718174492537</c:v>
                </c:pt>
                <c:pt idx="88">
                  <c:v>26.83926921327949</c:v>
                </c:pt>
                <c:pt idx="89">
                  <c:v>26.54117834048477</c:v>
                </c:pt>
                <c:pt idx="90">
                  <c:v>26.526354265256622</c:v>
                </c:pt>
                <c:pt idx="91">
                  <c:v>26.426989971809839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7-4952-94AB-059501D2BB9D}"/>
            </c:ext>
          </c:extLst>
        </c:ser>
        <c:ser>
          <c:idx val="2"/>
          <c:order val="2"/>
          <c:tx>
            <c:strRef>
              <c:f>Sheet1!$AC$1</c:f>
              <c:strCache>
                <c:ptCount val="1"/>
                <c:pt idx="0">
                  <c:v>Китай - Цена/прибыль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Sheet1!$AC$2:$AC$93</c:f>
              <c:numCache>
                <c:formatCode>_(* #,##0.00_);_(* \(#,##0.00\);_(* "-"??_);_(@_)</c:formatCode>
                <c:ptCount val="92"/>
                <c:pt idx="0">
                  <c:v>14.7302836625809</c:v>
                </c:pt>
                <c:pt idx="1">
                  <c:v>14.32918055390572</c:v>
                </c:pt>
                <c:pt idx="2">
                  <c:v>12.185591823687981</c:v>
                </c:pt>
                <c:pt idx="3">
                  <c:v>12.39755769513631</c:v>
                </c:pt>
                <c:pt idx="4">
                  <c:v>9.8164201419410517</c:v>
                </c:pt>
                <c:pt idx="5">
                  <c:v>0.82344013435144814</c:v>
                </c:pt>
                <c:pt idx="6">
                  <c:v>13.25603449335091</c:v>
                </c:pt>
                <c:pt idx="7">
                  <c:v>18.039734748565241</c:v>
                </c:pt>
                <c:pt idx="8">
                  <c:v>9.1123370016284593</c:v>
                </c:pt>
                <c:pt idx="9">
                  <c:v>2.9178672004828901</c:v>
                </c:pt>
                <c:pt idx="10">
                  <c:v>12.720162342192481</c:v>
                </c:pt>
                <c:pt idx="11">
                  <c:v>13.44276871642862</c:v>
                </c:pt>
                <c:pt idx="12">
                  <c:v>9.0766922920222139</c:v>
                </c:pt>
                <c:pt idx="13">
                  <c:v>10.321954239697821</c:v>
                </c:pt>
                <c:pt idx="14">
                  <c:v>11.628793424474051</c:v>
                </c:pt>
                <c:pt idx="15">
                  <c:v>11.563511540588509</c:v>
                </c:pt>
                <c:pt idx="16">
                  <c:v>13.104744728702251</c:v>
                </c:pt>
                <c:pt idx="17">
                  <c:v>13.984748528502911</c:v>
                </c:pt>
                <c:pt idx="18">
                  <c:v>13.817538795237789</c:v>
                </c:pt>
                <c:pt idx="19">
                  <c:v>18.7737554399224</c:v>
                </c:pt>
                <c:pt idx="20">
                  <c:v>18.824519113434619</c:v>
                </c:pt>
                <c:pt idx="21">
                  <c:v>21.1776707009776</c:v>
                </c:pt>
                <c:pt idx="22">
                  <c:v>26.003824205835031</c:v>
                </c:pt>
                <c:pt idx="23">
                  <c:v>25.764423923058441</c:v>
                </c:pt>
                <c:pt idx="24">
                  <c:v>19.251454623998971</c:v>
                </c:pt>
                <c:pt idx="25">
                  <c:v>16.500203695460719</c:v>
                </c:pt>
                <c:pt idx="26">
                  <c:v>10.726261367197541</c:v>
                </c:pt>
                <c:pt idx="27">
                  <c:v>9.9050312880116174</c:v>
                </c:pt>
                <c:pt idx="28">
                  <c:v>12.032599924029871</c:v>
                </c:pt>
                <c:pt idx="29">
                  <c:v>17.027965673928041</c:v>
                </c:pt>
                <c:pt idx="30">
                  <c:v>19.013456099465319</c:v>
                </c:pt>
                <c:pt idx="31">
                  <c:v>20.08079487587619</c:v>
                </c:pt>
                <c:pt idx="32">
                  <c:v>19.982972175636661</c:v>
                </c:pt>
                <c:pt idx="33">
                  <c:v>15.68488102601291</c:v>
                </c:pt>
                <c:pt idx="34">
                  <c:v>15.382601873481541</c:v>
                </c:pt>
                <c:pt idx="35">
                  <c:v>14.939345891945811</c:v>
                </c:pt>
                <c:pt idx="36">
                  <c:v>13.6037706631893</c:v>
                </c:pt>
                <c:pt idx="37">
                  <c:v>13.31651034897515</c:v>
                </c:pt>
                <c:pt idx="38">
                  <c:v>8.7134366559229512</c:v>
                </c:pt>
                <c:pt idx="39">
                  <c:v>9.256818226240183</c:v>
                </c:pt>
                <c:pt idx="40">
                  <c:v>10.34708576248201</c:v>
                </c:pt>
                <c:pt idx="41">
                  <c:v>9.5487844431270563</c:v>
                </c:pt>
                <c:pt idx="42">
                  <c:v>10.057122057370769</c:v>
                </c:pt>
                <c:pt idx="43">
                  <c:v>11.35545056710056</c:v>
                </c:pt>
                <c:pt idx="44">
                  <c:v>10.518901272831069</c:v>
                </c:pt>
                <c:pt idx="45">
                  <c:v>9.6382967194977223</c:v>
                </c:pt>
                <c:pt idx="46">
                  <c:v>9.8941175988344749</c:v>
                </c:pt>
                <c:pt idx="47">
                  <c:v>10.42378196348864</c:v>
                </c:pt>
                <c:pt idx="48">
                  <c:v>9.2290834381477058</c:v>
                </c:pt>
                <c:pt idx="49">
                  <c:v>9.7299116332328079</c:v>
                </c:pt>
                <c:pt idx="50">
                  <c:v>9.4686839721018554</c:v>
                </c:pt>
                <c:pt idx="51">
                  <c:v>10.03489417666127</c:v>
                </c:pt>
                <c:pt idx="52">
                  <c:v>11.095324287446211</c:v>
                </c:pt>
                <c:pt idx="53">
                  <c:v>11.63560196451121</c:v>
                </c:pt>
                <c:pt idx="54">
                  <c:v>8.7992442855086992</c:v>
                </c:pt>
                <c:pt idx="55">
                  <c:v>9.5928397021909166</c:v>
                </c:pt>
                <c:pt idx="56">
                  <c:v>10.74338284287921</c:v>
                </c:pt>
                <c:pt idx="57">
                  <c:v>10.649465040602159</c:v>
                </c:pt>
                <c:pt idx="58">
                  <c:v>14.46414984758877</c:v>
                </c:pt>
                <c:pt idx="59">
                  <c:v>13.38739926583245</c:v>
                </c:pt>
                <c:pt idx="60">
                  <c:v>15.10575462050066</c:v>
                </c:pt>
                <c:pt idx="61">
                  <c:v>15.40553063331248</c:v>
                </c:pt>
                <c:pt idx="62">
                  <c:v>15.74856090047793</c:v>
                </c:pt>
                <c:pt idx="63">
                  <c:v>15.93669688179838</c:v>
                </c:pt>
                <c:pt idx="64">
                  <c:v>15.24663132391624</c:v>
                </c:pt>
                <c:pt idx="65">
                  <c:v>14.00156962741821</c:v>
                </c:pt>
                <c:pt idx="66">
                  <c:v>12.74869813499522</c:v>
                </c:pt>
                <c:pt idx="67">
                  <c:v>11.916954868987251</c:v>
                </c:pt>
                <c:pt idx="68">
                  <c:v>13.64812629901949</c:v>
                </c:pt>
                <c:pt idx="69">
                  <c:v>13.003317507266599</c:v>
                </c:pt>
                <c:pt idx="70">
                  <c:v>13.03155292330298</c:v>
                </c:pt>
                <c:pt idx="71">
                  <c:v>14.16427370918816</c:v>
                </c:pt>
                <c:pt idx="72">
                  <c:v>12.658985607447001</c:v>
                </c:pt>
                <c:pt idx="73">
                  <c:v>15.06400224997877</c:v>
                </c:pt>
                <c:pt idx="74">
                  <c:v>18.939263038178179</c:v>
                </c:pt>
                <c:pt idx="75">
                  <c:v>20.426828910705009</c:v>
                </c:pt>
                <c:pt idx="76">
                  <c:v>18.572102504116391</c:v>
                </c:pt>
                <c:pt idx="77">
                  <c:v>20.401096634388161</c:v>
                </c:pt>
                <c:pt idx="78">
                  <c:v>15.01273794852264</c:v>
                </c:pt>
                <c:pt idx="79">
                  <c:v>14.227352830120511</c:v>
                </c:pt>
                <c:pt idx="80">
                  <c:v>13.616486612964531</c:v>
                </c:pt>
                <c:pt idx="81">
                  <c:v>13.579640396292939</c:v>
                </c:pt>
                <c:pt idx="82">
                  <c:v>11.3931979140712</c:v>
                </c:pt>
                <c:pt idx="83">
                  <c:v>13.430953896952399</c:v>
                </c:pt>
                <c:pt idx="84">
                  <c:v>14.031006550519971</c:v>
                </c:pt>
                <c:pt idx="85">
                  <c:v>11.72371248263895</c:v>
                </c:pt>
                <c:pt idx="86">
                  <c:v>12.42298959468898</c:v>
                </c:pt>
                <c:pt idx="87">
                  <c:v>11.54378679959858</c:v>
                </c:pt>
                <c:pt idx="88">
                  <c:v>11.351645794726871</c:v>
                </c:pt>
                <c:pt idx="89">
                  <c:v>11.8945267371002</c:v>
                </c:pt>
                <c:pt idx="90">
                  <c:v>13.52</c:v>
                </c:pt>
                <c:pt idx="91">
                  <c:v>11.38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7-4952-94AB-059501D2BB9D}"/>
            </c:ext>
          </c:extLst>
        </c:ser>
        <c:ser>
          <c:idx val="3"/>
          <c:order val="3"/>
          <c:tx>
            <c:strRef>
              <c:f>Sheet1!$AD$1</c:f>
              <c:strCache>
                <c:ptCount val="1"/>
                <c:pt idx="0">
                  <c:v>Китай - Цена/прибыль (сезонность устранена) STL</c:v>
                </c:pt>
              </c:strCache>
            </c:strRef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Sheet1!$AD$2:$AD$93</c:f>
              <c:numCache>
                <c:formatCode>_(* #,##0.00_);_(* \(#,##0.00\);_(* "-"??_);_(@_)</c:formatCode>
                <c:ptCount val="92"/>
                <c:pt idx="0">
                  <c:v>16.377945438660561</c:v>
                </c:pt>
                <c:pt idx="1">
                  <c:v>15.0360185672433</c:v>
                </c:pt>
                <c:pt idx="2">
                  <c:v>8.0998588881516653</c:v>
                </c:pt>
                <c:pt idx="3">
                  <c:v>12.610688049865621</c:v>
                </c:pt>
                <c:pt idx="4">
                  <c:v>10.96667036589789</c:v>
                </c:pt>
                <c:pt idx="5">
                  <c:v>4.4725811086502762</c:v>
                </c:pt>
                <c:pt idx="6">
                  <c:v>10.015656549119109</c:v>
                </c:pt>
                <c:pt idx="7">
                  <c:v>16.216960722849318</c:v>
                </c:pt>
                <c:pt idx="8">
                  <c:v>9.8223635225315817</c:v>
                </c:pt>
                <c:pt idx="9">
                  <c:v>9.5459455209293296</c:v>
                </c:pt>
                <c:pt idx="10">
                  <c:v>10.547549955945801</c:v>
                </c:pt>
                <c:pt idx="11">
                  <c:v>9.6509140103486484</c:v>
                </c:pt>
                <c:pt idx="12">
                  <c:v>9.4136726535420134</c:v>
                </c:pt>
                <c:pt idx="13">
                  <c:v>13.803053385401411</c:v>
                </c:pt>
                <c:pt idx="14">
                  <c:v>11.08607945562135</c:v>
                </c:pt>
                <c:pt idx="15">
                  <c:v>8.7691210046685022</c:v>
                </c:pt>
                <c:pt idx="16">
                  <c:v>13.2166420075232</c:v>
                </c:pt>
                <c:pt idx="17">
                  <c:v>14.42050028742791</c:v>
                </c:pt>
                <c:pt idx="18">
                  <c:v>15.674743503544351</c:v>
                </c:pt>
                <c:pt idx="19">
                  <c:v>16.952091799809569</c:v>
                </c:pt>
                <c:pt idx="20">
                  <c:v>18.374643697381561</c:v>
                </c:pt>
                <c:pt idx="21">
                  <c:v>22.261984226974199</c:v>
                </c:pt>
                <c:pt idx="22">
                  <c:v>30.67536908518408</c:v>
                </c:pt>
                <c:pt idx="23">
                  <c:v>18.10726350123451</c:v>
                </c:pt>
                <c:pt idx="24">
                  <c:v>18.16382019316406</c:v>
                </c:pt>
                <c:pt idx="25">
                  <c:v>18.22907932127606</c:v>
                </c:pt>
                <c:pt idx="26">
                  <c:v>18.27067669031538</c:v>
                </c:pt>
                <c:pt idx="27">
                  <c:v>4.8059447845412064</c:v>
                </c:pt>
                <c:pt idx="28">
                  <c:v>10.048290899178379</c:v>
                </c:pt>
                <c:pt idx="29">
                  <c:v>18.23925375827714</c:v>
                </c:pt>
                <c:pt idx="30">
                  <c:v>23.088728427896559</c:v>
                </c:pt>
                <c:pt idx="31">
                  <c:v>17.48423893508463</c:v>
                </c:pt>
                <c:pt idx="32">
                  <c:v>17.021758370881159</c:v>
                </c:pt>
                <c:pt idx="33">
                  <c:v>16.500815466588691</c:v>
                </c:pt>
                <c:pt idx="34">
                  <c:v>15.918471891934461</c:v>
                </c:pt>
                <c:pt idx="35">
                  <c:v>15.29583405556353</c:v>
                </c:pt>
                <c:pt idx="36">
                  <c:v>12.593595754005539</c:v>
                </c:pt>
                <c:pt idx="37">
                  <c:v>14.03037048508858</c:v>
                </c:pt>
                <c:pt idx="38">
                  <c:v>9.0929544085897316</c:v>
                </c:pt>
                <c:pt idx="39">
                  <c:v>8.8020455843550103</c:v>
                </c:pt>
                <c:pt idx="40">
                  <c:v>11.259623547172399</c:v>
                </c:pt>
                <c:pt idx="41">
                  <c:v>10.15759657000185</c:v>
                </c:pt>
                <c:pt idx="42">
                  <c:v>10.33527945319593</c:v>
                </c:pt>
                <c:pt idx="43">
                  <c:v>10.184144800122629</c:v>
                </c:pt>
                <c:pt idx="44">
                  <c:v>10.1353842530434</c:v>
                </c:pt>
                <c:pt idx="45">
                  <c:v>10.21176016462617</c:v>
                </c:pt>
                <c:pt idx="46">
                  <c:v>10.246443585600559</c:v>
                </c:pt>
                <c:pt idx="47">
                  <c:v>10.001835407110599</c:v>
                </c:pt>
                <c:pt idx="48">
                  <c:v>8.7149088483021302</c:v>
                </c:pt>
                <c:pt idx="49">
                  <c:v>9.639558601542868</c:v>
                </c:pt>
                <c:pt idx="50">
                  <c:v>10.291315904976161</c:v>
                </c:pt>
                <c:pt idx="51">
                  <c:v>10.276509725791209</c:v>
                </c:pt>
                <c:pt idx="52">
                  <c:v>10.4085152496639</c:v>
                </c:pt>
                <c:pt idx="53">
                  <c:v>10.463262217432201</c:v>
                </c:pt>
                <c:pt idx="54">
                  <c:v>10.49202869366526</c:v>
                </c:pt>
                <c:pt idx="55">
                  <c:v>10.15787113161818</c:v>
                </c:pt>
                <c:pt idx="56">
                  <c:v>10.515988984288921</c:v>
                </c:pt>
                <c:pt idx="57">
                  <c:v>9.7405196782344436</c:v>
                </c:pt>
                <c:pt idx="58">
                  <c:v>14.836625671826029</c:v>
                </c:pt>
                <c:pt idx="59">
                  <c:v>13.78969708084152</c:v>
                </c:pt>
                <c:pt idx="60">
                  <c:v>14.732947166316389</c:v>
                </c:pt>
                <c:pt idx="61">
                  <c:v>14.63976405247174</c:v>
                </c:pt>
                <c:pt idx="62">
                  <c:v>14.65755318091457</c:v>
                </c:pt>
                <c:pt idx="63">
                  <c:v>17.016760731848631</c:v>
                </c:pt>
                <c:pt idx="64">
                  <c:v>14.64171196531461</c:v>
                </c:pt>
                <c:pt idx="65">
                  <c:v>14.03617766093358</c:v>
                </c:pt>
                <c:pt idx="66">
                  <c:v>12.572603491988859</c:v>
                </c:pt>
                <c:pt idx="67">
                  <c:v>13.683934448448371</c:v>
                </c:pt>
                <c:pt idx="68">
                  <c:v>13.599396783363829</c:v>
                </c:pt>
                <c:pt idx="69">
                  <c:v>13.150129719070589</c:v>
                </c:pt>
                <c:pt idx="70">
                  <c:v>13.901678763901931</c:v>
                </c:pt>
                <c:pt idx="71">
                  <c:v>14.22406846638131</c:v>
                </c:pt>
                <c:pt idx="72">
                  <c:v>11.13375036958629</c:v>
                </c:pt>
                <c:pt idx="73">
                  <c:v>14.936603599048521</c:v>
                </c:pt>
                <c:pt idx="74">
                  <c:v>19.696433069885821</c:v>
                </c:pt>
                <c:pt idx="75">
                  <c:v>21.088331933606149</c:v>
                </c:pt>
                <c:pt idx="76">
                  <c:v>15.577508667381631</c:v>
                </c:pt>
                <c:pt idx="77">
                  <c:v>20.96335171145541</c:v>
                </c:pt>
                <c:pt idx="78">
                  <c:v>15.550736953871629</c:v>
                </c:pt>
                <c:pt idx="79">
                  <c:v>15.348069308128011</c:v>
                </c:pt>
                <c:pt idx="80">
                  <c:v>11.720799035222401</c:v>
                </c:pt>
                <c:pt idx="81">
                  <c:v>14.683959036719919</c:v>
                </c:pt>
                <c:pt idx="82">
                  <c:v>11.594834169537179</c:v>
                </c:pt>
                <c:pt idx="83">
                  <c:v>14.04331384760016</c:v>
                </c:pt>
                <c:pt idx="84">
                  <c:v>13.32064978023195</c:v>
                </c:pt>
                <c:pt idx="85">
                  <c:v>12.38735925780075</c:v>
                </c:pt>
                <c:pt idx="86">
                  <c:v>11.593302327293509</c:v>
                </c:pt>
                <c:pt idx="87">
                  <c:v>11.96979561041403</c:v>
                </c:pt>
                <c:pt idx="88">
                  <c:v>11.869235734476201</c:v>
                </c:pt>
                <c:pt idx="89">
                  <c:v>11.95782282487399</c:v>
                </c:pt>
                <c:pt idx="90">
                  <c:v>11.89945031130225</c:v>
                </c:pt>
                <c:pt idx="91">
                  <c:v>11.675790380614361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47-4952-94AB-059501D2B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497039"/>
        <c:axId val="2015498703"/>
      </c:lineChart>
      <c:dateAx>
        <c:axId val="201549703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498703"/>
        <c:crosses val="autoZero"/>
        <c:auto val="1"/>
        <c:lblOffset val="100"/>
        <c:baseTimeUnit val="months"/>
        <c:majorUnit val="5"/>
        <c:majorTimeUnit val="years"/>
      </c:dateAx>
      <c:valAx>
        <c:axId val="20154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54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Индия - Волатильность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37346</c:v>
                </c:pt>
                <c:pt idx="1">
                  <c:v>37437</c:v>
                </c:pt>
                <c:pt idx="2">
                  <c:v>37529</c:v>
                </c:pt>
                <c:pt idx="3">
                  <c:v>37621</c:v>
                </c:pt>
                <c:pt idx="4">
                  <c:v>37711</c:v>
                </c:pt>
                <c:pt idx="5">
                  <c:v>37802</c:v>
                </c:pt>
                <c:pt idx="6">
                  <c:v>37894</c:v>
                </c:pt>
                <c:pt idx="7">
                  <c:v>37986</c:v>
                </c:pt>
                <c:pt idx="8">
                  <c:v>38077</c:v>
                </c:pt>
                <c:pt idx="9">
                  <c:v>38168</c:v>
                </c:pt>
                <c:pt idx="10">
                  <c:v>38260</c:v>
                </c:pt>
                <c:pt idx="11">
                  <c:v>38352</c:v>
                </c:pt>
                <c:pt idx="12">
                  <c:v>38442</c:v>
                </c:pt>
                <c:pt idx="13">
                  <c:v>38533</c:v>
                </c:pt>
                <c:pt idx="14">
                  <c:v>38625</c:v>
                </c:pt>
                <c:pt idx="15">
                  <c:v>38717</c:v>
                </c:pt>
                <c:pt idx="16">
                  <c:v>38807</c:v>
                </c:pt>
                <c:pt idx="17">
                  <c:v>38898</c:v>
                </c:pt>
                <c:pt idx="18">
                  <c:v>38990</c:v>
                </c:pt>
                <c:pt idx="19">
                  <c:v>39082</c:v>
                </c:pt>
                <c:pt idx="20">
                  <c:v>39172</c:v>
                </c:pt>
                <c:pt idx="21">
                  <c:v>39263</c:v>
                </c:pt>
                <c:pt idx="22">
                  <c:v>39355</c:v>
                </c:pt>
                <c:pt idx="23">
                  <c:v>39447</c:v>
                </c:pt>
                <c:pt idx="24">
                  <c:v>39538</c:v>
                </c:pt>
                <c:pt idx="25">
                  <c:v>39629</c:v>
                </c:pt>
                <c:pt idx="26">
                  <c:v>39721</c:v>
                </c:pt>
                <c:pt idx="27">
                  <c:v>39813</c:v>
                </c:pt>
                <c:pt idx="28">
                  <c:v>39903</c:v>
                </c:pt>
                <c:pt idx="29">
                  <c:v>39994</c:v>
                </c:pt>
                <c:pt idx="30">
                  <c:v>40086</c:v>
                </c:pt>
                <c:pt idx="31">
                  <c:v>40178</c:v>
                </c:pt>
                <c:pt idx="32">
                  <c:v>40268</c:v>
                </c:pt>
                <c:pt idx="33">
                  <c:v>40359</c:v>
                </c:pt>
                <c:pt idx="34">
                  <c:v>40451</c:v>
                </c:pt>
                <c:pt idx="35">
                  <c:v>40543</c:v>
                </c:pt>
                <c:pt idx="36">
                  <c:v>40633</c:v>
                </c:pt>
                <c:pt idx="37">
                  <c:v>40724</c:v>
                </c:pt>
                <c:pt idx="38">
                  <c:v>40816</c:v>
                </c:pt>
                <c:pt idx="39">
                  <c:v>40908</c:v>
                </c:pt>
                <c:pt idx="40">
                  <c:v>40999</c:v>
                </c:pt>
                <c:pt idx="41">
                  <c:v>41090</c:v>
                </c:pt>
                <c:pt idx="42">
                  <c:v>41182</c:v>
                </c:pt>
                <c:pt idx="43">
                  <c:v>41274</c:v>
                </c:pt>
                <c:pt idx="44">
                  <c:v>41364</c:v>
                </c:pt>
                <c:pt idx="45">
                  <c:v>41455</c:v>
                </c:pt>
                <c:pt idx="46">
                  <c:v>41547</c:v>
                </c:pt>
                <c:pt idx="47">
                  <c:v>41639</c:v>
                </c:pt>
                <c:pt idx="48">
                  <c:v>41729</c:v>
                </c:pt>
                <c:pt idx="49">
                  <c:v>41820</c:v>
                </c:pt>
                <c:pt idx="50">
                  <c:v>41912</c:v>
                </c:pt>
                <c:pt idx="51">
                  <c:v>42004</c:v>
                </c:pt>
                <c:pt idx="52">
                  <c:v>42094</c:v>
                </c:pt>
                <c:pt idx="53">
                  <c:v>42185</c:v>
                </c:pt>
                <c:pt idx="54">
                  <c:v>42277</c:v>
                </c:pt>
                <c:pt idx="55">
                  <c:v>42369</c:v>
                </c:pt>
                <c:pt idx="56">
                  <c:v>42460</c:v>
                </c:pt>
                <c:pt idx="57">
                  <c:v>42551</c:v>
                </c:pt>
                <c:pt idx="58">
                  <c:v>42643</c:v>
                </c:pt>
                <c:pt idx="59">
                  <c:v>42735</c:v>
                </c:pt>
                <c:pt idx="60">
                  <c:v>42825</c:v>
                </c:pt>
                <c:pt idx="61">
                  <c:v>42916</c:v>
                </c:pt>
                <c:pt idx="62">
                  <c:v>43008</c:v>
                </c:pt>
                <c:pt idx="63">
                  <c:v>43100</c:v>
                </c:pt>
                <c:pt idx="64">
                  <c:v>43190</c:v>
                </c:pt>
                <c:pt idx="65">
                  <c:v>43281</c:v>
                </c:pt>
                <c:pt idx="66">
                  <c:v>43373</c:v>
                </c:pt>
                <c:pt idx="67">
                  <c:v>43465</c:v>
                </c:pt>
                <c:pt idx="68">
                  <c:v>43555</c:v>
                </c:pt>
                <c:pt idx="69">
                  <c:v>43646</c:v>
                </c:pt>
                <c:pt idx="70">
                  <c:v>43738</c:v>
                </c:pt>
                <c:pt idx="71">
                  <c:v>43830</c:v>
                </c:pt>
                <c:pt idx="72">
                  <c:v>43921</c:v>
                </c:pt>
                <c:pt idx="73">
                  <c:v>44012</c:v>
                </c:pt>
                <c:pt idx="74">
                  <c:v>44104</c:v>
                </c:pt>
                <c:pt idx="75">
                  <c:v>44196</c:v>
                </c:pt>
                <c:pt idx="76">
                  <c:v>44286</c:v>
                </c:pt>
                <c:pt idx="77">
                  <c:v>44377</c:v>
                </c:pt>
                <c:pt idx="78">
                  <c:v>44469</c:v>
                </c:pt>
                <c:pt idx="79">
                  <c:v>44561</c:v>
                </c:pt>
                <c:pt idx="80">
                  <c:v>44651</c:v>
                </c:pt>
                <c:pt idx="81">
                  <c:v>44742</c:v>
                </c:pt>
                <c:pt idx="82">
                  <c:v>44834</c:v>
                </c:pt>
                <c:pt idx="83">
                  <c:v>44926</c:v>
                </c:pt>
                <c:pt idx="84">
                  <c:v>45016</c:v>
                </c:pt>
                <c:pt idx="85">
                  <c:v>45107</c:v>
                </c:pt>
                <c:pt idx="86">
                  <c:v>45199</c:v>
                </c:pt>
                <c:pt idx="87">
                  <c:v>45291</c:v>
                </c:pt>
                <c:pt idx="88">
                  <c:v>45382</c:v>
                </c:pt>
                <c:pt idx="89">
                  <c:v>45473</c:v>
                </c:pt>
                <c:pt idx="90">
                  <c:v>45565</c:v>
                </c:pt>
                <c:pt idx="91">
                  <c:v>45657</c:v>
                </c:pt>
              </c:numCache>
            </c:numRef>
          </c:cat>
          <c:val>
            <c:numRef>
              <c:f>Sheet1!$V$2:$V$93</c:f>
              <c:numCache>
                <c:formatCode>0.00%</c:formatCode>
                <c:ptCount val="92"/>
                <c:pt idx="0">
                  <c:v>0.19331183562221349</c:v>
                </c:pt>
                <c:pt idx="1">
                  <c:v>0.19442416346897989</c:v>
                </c:pt>
                <c:pt idx="2">
                  <c:v>0.1481407674271534</c:v>
                </c:pt>
                <c:pt idx="3">
                  <c:v>0.13828929790145389</c:v>
                </c:pt>
                <c:pt idx="4">
                  <c:v>0.14116118634617461</c:v>
                </c:pt>
                <c:pt idx="5">
                  <c:v>0.17800435347315041</c:v>
                </c:pt>
                <c:pt idx="6">
                  <c:v>0.21443812588880981</c:v>
                </c:pt>
                <c:pt idx="7">
                  <c:v>0.1989604919742507</c:v>
                </c:pt>
                <c:pt idx="8">
                  <c:v>0.26214999297308522</c:v>
                </c:pt>
                <c:pt idx="9">
                  <c:v>0.39759735458620871</c:v>
                </c:pt>
                <c:pt idx="10">
                  <c:v>0.14577391214347249</c:v>
                </c:pt>
                <c:pt idx="11">
                  <c:v>0.1467539250695015</c:v>
                </c:pt>
                <c:pt idx="12">
                  <c:v>0.18260476500567699</c:v>
                </c:pt>
                <c:pt idx="13">
                  <c:v>0.1531227896916916</c:v>
                </c:pt>
                <c:pt idx="14">
                  <c:v>0.15800182626017931</c:v>
                </c:pt>
                <c:pt idx="15">
                  <c:v>0.19324449798714291</c:v>
                </c:pt>
                <c:pt idx="16">
                  <c:v>0.15640901032408919</c:v>
                </c:pt>
                <c:pt idx="17">
                  <c:v>0.44133883143714298</c:v>
                </c:pt>
                <c:pt idx="18">
                  <c:v>0.22320847015540979</c:v>
                </c:pt>
                <c:pt idx="19">
                  <c:v>0.17364328436673171</c:v>
                </c:pt>
                <c:pt idx="20">
                  <c:v>0.25824603433904342</c:v>
                </c:pt>
                <c:pt idx="21">
                  <c:v>0.19889698510428311</c:v>
                </c:pt>
                <c:pt idx="22">
                  <c:v>0.26540884946881699</c:v>
                </c:pt>
                <c:pt idx="23">
                  <c:v>0.31889328410785528</c:v>
                </c:pt>
                <c:pt idx="24">
                  <c:v>0.50629813278264435</c:v>
                </c:pt>
                <c:pt idx="25">
                  <c:v>0.27479657865289142</c:v>
                </c:pt>
                <c:pt idx="26">
                  <c:v>0.46289717905987371</c:v>
                </c:pt>
                <c:pt idx="27">
                  <c:v>0.67534144474984414</c:v>
                </c:pt>
                <c:pt idx="28">
                  <c:v>0.44574074216275361</c:v>
                </c:pt>
                <c:pt idx="29">
                  <c:v>0.56947856644102746</c:v>
                </c:pt>
                <c:pt idx="30">
                  <c:v>0.32999763645712848</c:v>
                </c:pt>
                <c:pt idx="31">
                  <c:v>0.24925350019732559</c:v>
                </c:pt>
                <c:pt idx="32">
                  <c:v>0.19954260524551601</c:v>
                </c:pt>
                <c:pt idx="33">
                  <c:v>0.28472263463872871</c:v>
                </c:pt>
                <c:pt idx="34">
                  <c:v>0.14581630783390989</c:v>
                </c:pt>
                <c:pt idx="35">
                  <c:v>0.20818348729900171</c:v>
                </c:pt>
                <c:pt idx="36">
                  <c:v>0.24417335977784399</c:v>
                </c:pt>
                <c:pt idx="37">
                  <c:v>0.18556848996069361</c:v>
                </c:pt>
                <c:pt idx="38">
                  <c:v>0.27318550756992288</c:v>
                </c:pt>
                <c:pt idx="39">
                  <c:v>0.2986400911485364</c:v>
                </c:pt>
                <c:pt idx="40">
                  <c:v>0.25351786620235078</c:v>
                </c:pt>
                <c:pt idx="41">
                  <c:v>0.22019953765668909</c:v>
                </c:pt>
                <c:pt idx="42">
                  <c:v>0.1988142273681078</c:v>
                </c:pt>
                <c:pt idx="43">
                  <c:v>0.1645104628113804</c:v>
                </c:pt>
                <c:pt idx="44">
                  <c:v>0.14901510167184581</c:v>
                </c:pt>
                <c:pt idx="45">
                  <c:v>0.23750873310000059</c:v>
                </c:pt>
                <c:pt idx="46">
                  <c:v>0.35445015548134062</c:v>
                </c:pt>
                <c:pt idx="47">
                  <c:v>0.18125933338571371</c:v>
                </c:pt>
                <c:pt idx="48">
                  <c:v>0.14950410994665519</c:v>
                </c:pt>
                <c:pt idx="49">
                  <c:v>0.15141928590345771</c:v>
                </c:pt>
                <c:pt idx="50">
                  <c:v>0.15173087514232411</c:v>
                </c:pt>
                <c:pt idx="51">
                  <c:v>0.1492109599459315</c:v>
                </c:pt>
                <c:pt idx="52">
                  <c:v>0.17234316701712299</c:v>
                </c:pt>
                <c:pt idx="53">
                  <c:v>0.1896687387375052</c:v>
                </c:pt>
                <c:pt idx="54">
                  <c:v>0.228418099333494</c:v>
                </c:pt>
                <c:pt idx="55">
                  <c:v>0.14023845685478581</c:v>
                </c:pt>
                <c:pt idx="56">
                  <c:v>0.22145849023031031</c:v>
                </c:pt>
                <c:pt idx="57">
                  <c:v>0.153934769467194</c:v>
                </c:pt>
                <c:pt idx="58">
                  <c:v>0.1303726673426967</c:v>
                </c:pt>
                <c:pt idx="59">
                  <c:v>0.1766867827623487</c:v>
                </c:pt>
                <c:pt idx="60">
                  <c:v>0.109261392112845</c:v>
                </c:pt>
                <c:pt idx="61">
                  <c:v>0.1033322130819338</c:v>
                </c:pt>
                <c:pt idx="62">
                  <c:v>0.11788222630648459</c:v>
                </c:pt>
                <c:pt idx="63">
                  <c:v>0.11313496298160899</c:v>
                </c:pt>
                <c:pt idx="64">
                  <c:v>0.14237126210986811</c:v>
                </c:pt>
                <c:pt idx="65">
                  <c:v>0.13349226227241379</c:v>
                </c:pt>
                <c:pt idx="66">
                  <c:v>0.14833756696822781</c:v>
                </c:pt>
                <c:pt idx="67">
                  <c:v>0.21809027028804129</c:v>
                </c:pt>
                <c:pt idx="68">
                  <c:v>0.12606877236480341</c:v>
                </c:pt>
                <c:pt idx="69">
                  <c:v>0.16789514341839951</c:v>
                </c:pt>
                <c:pt idx="70">
                  <c:v>0.20507842394937431</c:v>
                </c:pt>
                <c:pt idx="71">
                  <c:v>0.1056335788817933</c:v>
                </c:pt>
                <c:pt idx="72">
                  <c:v>0.51057475106665906</c:v>
                </c:pt>
                <c:pt idx="73">
                  <c:v>0.33356599122879821</c:v>
                </c:pt>
                <c:pt idx="74">
                  <c:v>0.18003187336271981</c:v>
                </c:pt>
                <c:pt idx="75">
                  <c:v>0.14650658608063069</c:v>
                </c:pt>
                <c:pt idx="76">
                  <c:v>0.21547623067883351</c:v>
                </c:pt>
                <c:pt idx="77">
                  <c:v>0.15165641614123609</c:v>
                </c:pt>
                <c:pt idx="78">
                  <c:v>0.1159119026331292</c:v>
                </c:pt>
                <c:pt idx="79">
                  <c:v>0.17053887282630339</c:v>
                </c:pt>
                <c:pt idx="80">
                  <c:v>0.25497725424188389</c:v>
                </c:pt>
                <c:pt idx="81">
                  <c:v>0.21234792666114849</c:v>
                </c:pt>
                <c:pt idx="82">
                  <c:v>0.169084788380995</c:v>
                </c:pt>
                <c:pt idx="83">
                  <c:v>0.1486921247456264</c:v>
                </c:pt>
                <c:pt idx="84">
                  <c:v>0.13189655264461131</c:v>
                </c:pt>
                <c:pt idx="85">
                  <c:v>7.889968483712359E-2</c:v>
                </c:pt>
                <c:pt idx="86">
                  <c:v>8.5458813890078575E-2</c:v>
                </c:pt>
                <c:pt idx="87">
                  <c:v>0.1097883810115161</c:v>
                </c:pt>
                <c:pt idx="88">
                  <c:v>0.12926062700820001</c:v>
                </c:pt>
                <c:pt idx="89">
                  <c:v>0.20052468450575101</c:v>
                </c:pt>
                <c:pt idx="90">
                  <c:v>0.12514168005977019</c:v>
                </c:pt>
                <c:pt idx="91">
                  <c:v>0.13327168797628181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B-4B1D-BCB4-16EABD9D6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554447"/>
        <c:axId val="347557775"/>
      </c:lineChart>
      <c:dateAx>
        <c:axId val="347554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557775"/>
        <c:crosses val="autoZero"/>
        <c:auto val="1"/>
        <c:lblOffset val="100"/>
        <c:baseTimeUnit val="months"/>
      </c:dateAx>
      <c:valAx>
        <c:axId val="34755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55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799235</xdr:colOff>
      <xdr:row>6</xdr:row>
      <xdr:rowOff>126421</xdr:rowOff>
    </xdr:from>
    <xdr:to>
      <xdr:col>3</xdr:col>
      <xdr:colOff>1220919</xdr:colOff>
      <xdr:row>25</xdr:row>
      <xdr:rowOff>88322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174914</xdr:colOff>
      <xdr:row>7</xdr:row>
      <xdr:rowOff>127289</xdr:rowOff>
    </xdr:from>
    <xdr:to>
      <xdr:col>19</xdr:col>
      <xdr:colOff>711764</xdr:colOff>
      <xdr:row>26</xdr:row>
      <xdr:rowOff>89190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1295400</xdr:colOff>
      <xdr:row>7</xdr:row>
      <xdr:rowOff>95250</xdr:rowOff>
    </xdr:from>
    <xdr:to>
      <xdr:col>29</xdr:col>
      <xdr:colOff>146325</xdr:colOff>
      <xdr:row>26</xdr:row>
      <xdr:rowOff>57151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80962</xdr:colOff>
      <xdr:row>7</xdr:row>
      <xdr:rowOff>57156</xdr:rowOff>
    </xdr:from>
    <xdr:to>
      <xdr:col>24</xdr:col>
      <xdr:colOff>1138237</xdr:colOff>
      <xdr:row>21</xdr:row>
      <xdr:rowOff>133356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7109375" style="2" customWidth="1"/>
    <col min="2" max="16" width="18.42578125" style="3" customWidth="1"/>
    <col min="17" max="26" width="17.5703125" style="7" customWidth="1"/>
    <col min="27" max="30" width="20.140625" style="9" customWidth="1"/>
  </cols>
  <sheetData>
    <row r="1" spans="1:30" s="6" customFormat="1" ht="60" x14ac:dyDescent="0.25">
      <c r="A1" s="4" t="s">
        <v>24</v>
      </c>
      <c r="B1" s="5" t="s">
        <v>0</v>
      </c>
      <c r="C1" s="5" t="s">
        <v>2</v>
      </c>
      <c r="D1" s="5" t="s">
        <v>1</v>
      </c>
      <c r="E1" s="5" t="s">
        <v>3</v>
      </c>
      <c r="F1" s="5"/>
      <c r="G1" s="5" t="s">
        <v>8</v>
      </c>
      <c r="H1" s="5" t="s">
        <v>10</v>
      </c>
      <c r="I1" s="5" t="s">
        <v>9</v>
      </c>
      <c r="J1" s="5" t="s">
        <v>11</v>
      </c>
      <c r="K1" s="5"/>
      <c r="L1" s="5" t="s">
        <v>16</v>
      </c>
      <c r="M1" s="5" t="s">
        <v>18</v>
      </c>
      <c r="N1" s="5" t="s">
        <v>17</v>
      </c>
      <c r="O1" s="5" t="s">
        <v>19</v>
      </c>
      <c r="P1" s="5"/>
      <c r="Q1" s="8" t="s">
        <v>12</v>
      </c>
      <c r="R1" s="8" t="s">
        <v>14</v>
      </c>
      <c r="S1" s="8" t="s">
        <v>13</v>
      </c>
      <c r="T1" s="8" t="s">
        <v>15</v>
      </c>
      <c r="U1" s="8"/>
      <c r="V1" s="8" t="s">
        <v>4</v>
      </c>
      <c r="W1" s="8" t="s">
        <v>6</v>
      </c>
      <c r="X1" s="8" t="s">
        <v>5</v>
      </c>
      <c r="Y1" s="8" t="s">
        <v>7</v>
      </c>
      <c r="Z1" s="8"/>
      <c r="AA1" s="10" t="s">
        <v>20</v>
      </c>
      <c r="AB1" s="10" t="s">
        <v>22</v>
      </c>
      <c r="AC1" s="10" t="s">
        <v>21</v>
      </c>
      <c r="AD1" s="10" t="s">
        <v>23</v>
      </c>
    </row>
    <row r="2" spans="1:30" x14ac:dyDescent="0.25">
      <c r="A2" s="1">
        <v>37346</v>
      </c>
      <c r="B2" s="3">
        <v>227298484288.87671</v>
      </c>
      <c r="C2" s="3">
        <v>213501996087.28531</v>
      </c>
      <c r="D2" s="3">
        <v>600705994856.72144</v>
      </c>
      <c r="E2" s="3">
        <v>669543821803.02356</v>
      </c>
      <c r="G2" s="3">
        <v>246468544555.07211</v>
      </c>
      <c r="H2" s="3">
        <v>206451788414.44601</v>
      </c>
      <c r="I2" s="3">
        <v>969801387025.37219</v>
      </c>
      <c r="J2" s="3">
        <v>1033298491513.575</v>
      </c>
      <c r="L2" s="3">
        <v>103029407406.6127</v>
      </c>
      <c r="M2" s="3">
        <v>94466226279.186798</v>
      </c>
      <c r="N2" s="3">
        <v>177816185382.44791</v>
      </c>
      <c r="O2" s="3">
        <v>190083454409.5704</v>
      </c>
      <c r="Q2" s="7">
        <v>0.41802254154826363</v>
      </c>
      <c r="R2" s="7">
        <v>0.38401067529442662</v>
      </c>
      <c r="S2" s="7">
        <v>0.1833531976355029</v>
      </c>
      <c r="T2" s="7">
        <v>0.1526615369162069</v>
      </c>
      <c r="V2" s="7">
        <v>0.19331183562221349</v>
      </c>
      <c r="W2" s="7">
        <v>0.163088773362461</v>
      </c>
      <c r="X2" s="7">
        <v>0.25136604479006341</v>
      </c>
      <c r="Y2" s="7">
        <v>0.2080026246503297</v>
      </c>
      <c r="AA2" s="9">
        <v>15.638810992882</v>
      </c>
      <c r="AB2" s="9">
        <v>2.23013336503822</v>
      </c>
      <c r="AC2" s="9">
        <v>14.7302836625809</v>
      </c>
      <c r="AD2" s="9">
        <v>16.377945438660561</v>
      </c>
    </row>
    <row r="3" spans="1:30" x14ac:dyDescent="0.25">
      <c r="A3" s="1">
        <v>37437</v>
      </c>
      <c r="B3" s="3">
        <v>210467246583.4827</v>
      </c>
      <c r="C3" s="3">
        <v>217488215969.05441</v>
      </c>
      <c r="D3" s="3">
        <v>674468580482.49146</v>
      </c>
      <c r="E3" s="3">
        <v>693034075032.52161</v>
      </c>
      <c r="G3" s="3">
        <v>253846900550.63062</v>
      </c>
      <c r="H3" s="3">
        <v>234283861177.16541</v>
      </c>
      <c r="I3" s="3">
        <v>1089542477937.2209</v>
      </c>
      <c r="J3" s="3">
        <v>1020499891347.9139</v>
      </c>
      <c r="L3" s="3">
        <v>92686150426.93335</v>
      </c>
      <c r="M3" s="3">
        <v>98223019491.84967</v>
      </c>
      <c r="N3" s="3">
        <v>204379895141.71069</v>
      </c>
      <c r="O3" s="3">
        <v>151062308466.06711</v>
      </c>
      <c r="Q3" s="7">
        <v>0.36512618521590651</v>
      </c>
      <c r="R3" s="7">
        <v>0.38928816077309331</v>
      </c>
      <c r="S3" s="7">
        <v>0.1875832280799675</v>
      </c>
      <c r="T3" s="7">
        <v>0.1532741470969447</v>
      </c>
      <c r="V3" s="7">
        <v>0.19442416346897989</v>
      </c>
      <c r="W3" s="7">
        <v>0.17346790028509121</v>
      </c>
      <c r="X3" s="7">
        <v>0.16669814789454579</v>
      </c>
      <c r="Y3" s="7">
        <v>0.2125257746258585</v>
      </c>
      <c r="AA3" s="9">
        <v>13.506376125749039</v>
      </c>
      <c r="AB3" s="9">
        <v>16.89462036691997</v>
      </c>
      <c r="AC3" s="9">
        <v>14.32918055390572</v>
      </c>
      <c r="AD3" s="9">
        <v>15.0360185672433</v>
      </c>
    </row>
    <row r="4" spans="1:30" x14ac:dyDescent="0.25">
      <c r="A4" s="1">
        <v>37529</v>
      </c>
      <c r="B4" s="3">
        <v>201952104400.84409</v>
      </c>
      <c r="C4" s="3">
        <v>218939095782.87869</v>
      </c>
      <c r="D4" s="3">
        <v>729054082884.02588</v>
      </c>
      <c r="E4" s="3">
        <v>709950480958.67273</v>
      </c>
      <c r="G4" s="3">
        <v>221821894812.34021</v>
      </c>
      <c r="H4" s="3">
        <v>233026724400.25159</v>
      </c>
      <c r="I4" s="3">
        <v>1018679095528.589</v>
      </c>
      <c r="J4" s="3">
        <v>997677547912.30493</v>
      </c>
      <c r="L4" s="3">
        <v>85152334203.61441</v>
      </c>
      <c r="M4" s="3">
        <v>92404594392.52562</v>
      </c>
      <c r="N4" s="3">
        <v>147938672553.84961</v>
      </c>
      <c r="O4" s="3">
        <v>186478459969.55481</v>
      </c>
      <c r="Q4" s="7">
        <v>0.38387704818612561</v>
      </c>
      <c r="R4" s="7">
        <v>0.39440214237532489</v>
      </c>
      <c r="S4" s="7">
        <v>0.1452259825525179</v>
      </c>
      <c r="T4" s="7">
        <v>0.1605380030050379</v>
      </c>
      <c r="V4" s="7">
        <v>0.1481407674271534</v>
      </c>
      <c r="W4" s="7">
        <v>0.17384231234957359</v>
      </c>
      <c r="X4" s="7">
        <v>0.22238453979122819</v>
      </c>
      <c r="Y4" s="7">
        <v>0.22274760370507901</v>
      </c>
      <c r="AA4" s="9">
        <v>12.49149550137242</v>
      </c>
      <c r="AB4" s="9">
        <v>16.777048069464328</v>
      </c>
      <c r="AC4" s="9">
        <v>12.185591823687981</v>
      </c>
      <c r="AD4" s="9">
        <v>8.0998588881516653</v>
      </c>
    </row>
    <row r="5" spans="1:30" x14ac:dyDescent="0.25">
      <c r="A5" s="1">
        <v>37621</v>
      </c>
      <c r="B5" s="3">
        <v>231884340556.15881</v>
      </c>
      <c r="C5" s="3">
        <v>220824437432.82458</v>
      </c>
      <c r="D5" s="3">
        <v>807696554675.42627</v>
      </c>
      <c r="E5" s="3">
        <v>734173369622.55554</v>
      </c>
      <c r="G5" s="3">
        <v>242679397336.29071</v>
      </c>
      <c r="H5" s="3">
        <v>251479051658.37869</v>
      </c>
      <c r="I5" s="3">
        <v>873770576039.72339</v>
      </c>
      <c r="J5" s="3">
        <v>939408943530.78479</v>
      </c>
      <c r="L5" s="3">
        <v>96353101130.738708</v>
      </c>
      <c r="M5" s="3">
        <v>91305654402.338593</v>
      </c>
      <c r="N5" s="3">
        <v>107613007879.2012</v>
      </c>
      <c r="O5" s="3">
        <v>138418621041.64349</v>
      </c>
      <c r="Q5" s="7">
        <v>0.39703865341818978</v>
      </c>
      <c r="R5" s="7">
        <v>0.39900291655663539</v>
      </c>
      <c r="S5" s="7">
        <v>0.1231593404837987</v>
      </c>
      <c r="T5" s="7">
        <v>0.14218437336963749</v>
      </c>
      <c r="V5" s="7">
        <v>0.13828929790145389</v>
      </c>
      <c r="W5" s="7">
        <v>0.17573196509719149</v>
      </c>
      <c r="X5" s="7">
        <v>0.22200828889407551</v>
      </c>
      <c r="Y5" s="7">
        <v>0.23080322224745681</v>
      </c>
      <c r="AA5" s="9">
        <v>13.77692893932266</v>
      </c>
      <c r="AB5" s="9">
        <v>16.722949371284699</v>
      </c>
      <c r="AC5" s="9">
        <v>12.39755769513631</v>
      </c>
      <c r="AD5" s="9">
        <v>12.610688049865621</v>
      </c>
    </row>
    <row r="6" spans="1:30" x14ac:dyDescent="0.25">
      <c r="A6" s="1">
        <v>37711</v>
      </c>
      <c r="B6" s="3">
        <v>237864178976.8425</v>
      </c>
      <c r="C6" s="3">
        <v>225706939142.207</v>
      </c>
      <c r="D6" s="3">
        <v>678975192720.78479</v>
      </c>
      <c r="E6" s="3">
        <v>753587052543.80139</v>
      </c>
      <c r="G6" s="3">
        <v>208356286656.0802</v>
      </c>
      <c r="H6" s="3">
        <v>186053489508.33081</v>
      </c>
      <c r="I6" s="3">
        <v>958061613788.70874</v>
      </c>
      <c r="J6" s="3">
        <v>936405359793.63843</v>
      </c>
      <c r="L6" s="3">
        <v>89538653809.432755</v>
      </c>
      <c r="M6" s="3">
        <v>77758647365.279053</v>
      </c>
      <c r="N6" s="3">
        <v>149605206069.89929</v>
      </c>
      <c r="O6" s="3">
        <v>120302335343.93961</v>
      </c>
      <c r="Q6" s="7">
        <v>0.42973819147213083</v>
      </c>
      <c r="R6" s="7">
        <v>0.40412139451680978</v>
      </c>
      <c r="S6" s="7">
        <v>0.15615405514294331</v>
      </c>
      <c r="T6" s="7">
        <v>0.15729888389746749</v>
      </c>
      <c r="V6" s="7">
        <v>0.14116118634617461</v>
      </c>
      <c r="W6" s="7">
        <v>9.4768725504695728E-2</v>
      </c>
      <c r="X6" s="7">
        <v>0.17531780689729759</v>
      </c>
      <c r="Y6" s="7">
        <v>0.121605542149859</v>
      </c>
      <c r="AA6" s="9">
        <v>11.64762572939517</v>
      </c>
      <c r="AB6" s="9">
        <v>2.5429645859562608</v>
      </c>
      <c r="AC6" s="9">
        <v>9.8164201419410517</v>
      </c>
      <c r="AD6" s="9">
        <v>10.96667036589789</v>
      </c>
    </row>
    <row r="7" spans="1:30" x14ac:dyDescent="0.25">
      <c r="A7" s="1">
        <v>37802</v>
      </c>
      <c r="B7" s="3">
        <v>220726019969.0784</v>
      </c>
      <c r="C7" s="3">
        <v>227060293392.84879</v>
      </c>
      <c r="D7" s="3">
        <v>748138683797.54468</v>
      </c>
      <c r="E7" s="3">
        <v>768511583171.07397</v>
      </c>
      <c r="G7" s="3">
        <v>279113924600.90619</v>
      </c>
      <c r="H7" s="3">
        <v>284788219904.1554</v>
      </c>
      <c r="I7" s="3">
        <v>944401504827.32629</v>
      </c>
      <c r="J7" s="3">
        <v>911816039160.85852</v>
      </c>
      <c r="L7" s="3">
        <v>88745356056.87085</v>
      </c>
      <c r="M7" s="3">
        <v>100744342214.4861</v>
      </c>
      <c r="N7" s="3">
        <v>257568895769.6102</v>
      </c>
      <c r="O7" s="3">
        <v>212782539232.1109</v>
      </c>
      <c r="Q7" s="7">
        <v>0.31795388275151187</v>
      </c>
      <c r="R7" s="7">
        <v>0.33828440754782663</v>
      </c>
      <c r="S7" s="7">
        <v>0.27273240719444208</v>
      </c>
      <c r="T7" s="7">
        <v>0.23959543749850579</v>
      </c>
      <c r="V7" s="7">
        <v>0.17800435347315041</v>
      </c>
      <c r="W7" s="7">
        <v>0.1705291628233796</v>
      </c>
      <c r="X7" s="7">
        <v>0.20160439475749281</v>
      </c>
      <c r="Y7" s="7">
        <v>0.2397798150758837</v>
      </c>
      <c r="AA7" s="9">
        <v>13.515659252465291</v>
      </c>
      <c r="AB7" s="9">
        <v>16.604782183202769</v>
      </c>
      <c r="AC7" s="9">
        <v>0.82344013435144814</v>
      </c>
      <c r="AD7" s="9">
        <v>4.4725811086502762</v>
      </c>
    </row>
    <row r="8" spans="1:30" x14ac:dyDescent="0.25">
      <c r="A8" s="1">
        <v>37894</v>
      </c>
      <c r="B8" s="3">
        <v>218618463213.41422</v>
      </c>
      <c r="C8" s="3">
        <v>235576991290.35889</v>
      </c>
      <c r="D8" s="3">
        <v>817180293990.59656</v>
      </c>
      <c r="E8" s="3">
        <v>797771466829.69824</v>
      </c>
      <c r="G8" s="3">
        <v>342899250486.67499</v>
      </c>
      <c r="H8" s="3">
        <v>369865661112.37872</v>
      </c>
      <c r="I8" s="3">
        <v>892609424826.59717</v>
      </c>
      <c r="J8" s="3">
        <v>878121484357.96387</v>
      </c>
      <c r="L8" s="3">
        <v>143527456635.32419</v>
      </c>
      <c r="M8" s="3">
        <v>144954719338.27609</v>
      </c>
      <c r="N8" s="3">
        <v>124413475704.3941</v>
      </c>
      <c r="O8" s="3">
        <v>148201555685.56549</v>
      </c>
      <c r="Q8" s="7">
        <v>0.4185703422553898</v>
      </c>
      <c r="R8" s="7">
        <v>0.41135586808252789</v>
      </c>
      <c r="S8" s="7">
        <v>0.1393817634499695</v>
      </c>
      <c r="T8" s="7">
        <v>0.15317046084877431</v>
      </c>
      <c r="V8" s="7">
        <v>0.21443812588880981</v>
      </c>
      <c r="W8" s="7">
        <v>0.23804663717620481</v>
      </c>
      <c r="X8" s="7">
        <v>0.25235730890849528</v>
      </c>
      <c r="Y8" s="7">
        <v>0.25597611990575342</v>
      </c>
      <c r="AA8" s="9">
        <v>15.98374066508582</v>
      </c>
      <c r="AB8" s="9">
        <v>18.803185820198841</v>
      </c>
      <c r="AC8" s="9">
        <v>13.25603449335091</v>
      </c>
      <c r="AD8" s="9">
        <v>10.015656549119109</v>
      </c>
    </row>
    <row r="9" spans="1:30" x14ac:dyDescent="0.25">
      <c r="A9" s="1">
        <v>37986</v>
      </c>
      <c r="B9" s="3">
        <v>257944583651.4306</v>
      </c>
      <c r="C9" s="3">
        <v>246996119566.00049</v>
      </c>
      <c r="D9" s="3">
        <v>896031763547.37549</v>
      </c>
      <c r="E9" s="3">
        <v>814765668389.1261</v>
      </c>
      <c r="G9" s="3">
        <v>436195880320.09558</v>
      </c>
      <c r="H9" s="3">
        <v>407540367938.02063</v>
      </c>
      <c r="I9" s="3">
        <v>943098464793.45166</v>
      </c>
      <c r="J9" s="3">
        <v>949594132426.06396</v>
      </c>
      <c r="L9" s="3">
        <v>176137639269.8353</v>
      </c>
      <c r="M9" s="3">
        <v>178374023731.17981</v>
      </c>
      <c r="N9" s="3">
        <v>191929544838.43851</v>
      </c>
      <c r="O9" s="3">
        <v>217707361340.8038</v>
      </c>
      <c r="Q9" s="7">
        <v>0.4038039954448433</v>
      </c>
      <c r="R9" s="7">
        <v>0.40917021518860608</v>
      </c>
      <c r="S9" s="7">
        <v>0.20350955070261201</v>
      </c>
      <c r="T9" s="7">
        <v>0.21601330147766931</v>
      </c>
      <c r="V9" s="7">
        <v>0.1989604919742507</v>
      </c>
      <c r="W9" s="7">
        <v>0.22526339202370069</v>
      </c>
      <c r="X9" s="7">
        <v>0.25299864961829582</v>
      </c>
      <c r="Y9" s="7">
        <v>0.2646536734054778</v>
      </c>
      <c r="AA9" s="9">
        <v>21.406652495978989</v>
      </c>
      <c r="AB9" s="9">
        <v>22.08975221605402</v>
      </c>
      <c r="AC9" s="9">
        <v>18.039734748565241</v>
      </c>
      <c r="AD9" s="9">
        <v>16.216960722849318</v>
      </c>
    </row>
    <row r="10" spans="1:30" x14ac:dyDescent="0.25">
      <c r="A10" s="1">
        <v>38077</v>
      </c>
      <c r="B10" s="3">
        <v>255989970376.18329</v>
      </c>
      <c r="C10" s="3">
        <v>244760271406.5701</v>
      </c>
      <c r="D10" s="3">
        <v>766011826345.05005</v>
      </c>
      <c r="E10" s="3">
        <v>846785847992.68701</v>
      </c>
      <c r="G10" s="3">
        <v>414206126053.78699</v>
      </c>
      <c r="H10" s="3">
        <v>424904310246.13971</v>
      </c>
      <c r="I10" s="3">
        <v>1100050169837.6641</v>
      </c>
      <c r="J10" s="3">
        <v>1015686286141.7</v>
      </c>
      <c r="L10" s="3">
        <v>192339097426.92429</v>
      </c>
      <c r="M10" s="3">
        <v>179150312923.6358</v>
      </c>
      <c r="N10" s="3">
        <v>358168481864.12231</v>
      </c>
      <c r="O10" s="3">
        <v>299109514339.72247</v>
      </c>
      <c r="Q10" s="7">
        <v>0.46435599410219242</v>
      </c>
      <c r="R10" s="7">
        <v>0.44667017048026741</v>
      </c>
      <c r="S10" s="7">
        <v>0.32559286083922678</v>
      </c>
      <c r="T10" s="7">
        <v>0.36031043502890642</v>
      </c>
      <c r="V10" s="7">
        <v>0.26214999297308522</v>
      </c>
      <c r="W10" s="7">
        <v>0.1721475207744747</v>
      </c>
      <c r="X10" s="7">
        <v>0.28033969231514788</v>
      </c>
      <c r="Y10" s="7">
        <v>0.21599490250113021</v>
      </c>
      <c r="AA10" s="9">
        <v>21.110934579861311</v>
      </c>
      <c r="AB10" s="9">
        <v>16.331626537768361</v>
      </c>
      <c r="AC10" s="9">
        <v>9.1123370016284593</v>
      </c>
      <c r="AD10" s="9">
        <v>9.8223635225315817</v>
      </c>
    </row>
    <row r="11" spans="1:30" x14ac:dyDescent="0.25">
      <c r="A11" s="1">
        <v>38168</v>
      </c>
      <c r="B11" s="3">
        <v>252233758126.4325</v>
      </c>
      <c r="C11" s="3">
        <v>257754777361.41599</v>
      </c>
      <c r="D11" s="3">
        <v>853595438431.00024</v>
      </c>
      <c r="E11" s="3">
        <v>875727750829.67725</v>
      </c>
      <c r="G11" s="3">
        <v>360311715590.69678</v>
      </c>
      <c r="H11" s="3">
        <v>396191690021.49213</v>
      </c>
      <c r="I11" s="3">
        <v>878740780630.95947</v>
      </c>
      <c r="J11" s="3">
        <v>887426108540.36279</v>
      </c>
      <c r="L11" s="3">
        <v>152651466504.80789</v>
      </c>
      <c r="M11" s="3">
        <v>171601545178.97031</v>
      </c>
      <c r="N11" s="3">
        <v>209223679751.12799</v>
      </c>
      <c r="O11" s="3">
        <v>177062828484.41321</v>
      </c>
      <c r="Q11" s="7">
        <v>0.42366500976675248</v>
      </c>
      <c r="R11" s="7">
        <v>0.43563715063896308</v>
      </c>
      <c r="S11" s="7">
        <v>0.23809487890262671</v>
      </c>
      <c r="T11" s="7">
        <v>0.20737377758528089</v>
      </c>
      <c r="V11" s="7">
        <v>0.39759735458620871</v>
      </c>
      <c r="W11" s="7">
        <v>0.40278407336796052</v>
      </c>
      <c r="X11" s="7">
        <v>0.38095647573291652</v>
      </c>
      <c r="Y11" s="7">
        <v>0.4116564905159219</v>
      </c>
      <c r="AA11" s="9">
        <v>13.43199926711883</v>
      </c>
      <c r="AB11" s="9">
        <v>16.23460448121898</v>
      </c>
      <c r="AC11" s="9">
        <v>2.9178672004828901</v>
      </c>
      <c r="AD11" s="9">
        <v>9.5459455209293296</v>
      </c>
    </row>
    <row r="12" spans="1:30" x14ac:dyDescent="0.25">
      <c r="A12" s="1">
        <v>38260</v>
      </c>
      <c r="B12" s="3">
        <v>250116371892.5675</v>
      </c>
      <c r="C12" s="3">
        <v>267766177036.75989</v>
      </c>
      <c r="D12" s="3">
        <v>921903470660.83069</v>
      </c>
      <c r="E12" s="3">
        <v>902657010278.0791</v>
      </c>
      <c r="G12" s="3">
        <v>443248695412.28668</v>
      </c>
      <c r="H12" s="3">
        <v>499381244652.12402</v>
      </c>
      <c r="I12" s="3">
        <v>888904797281.04333</v>
      </c>
      <c r="J12" s="3">
        <v>890168739154.35596</v>
      </c>
      <c r="L12" s="3">
        <v>139469645815.4021</v>
      </c>
      <c r="M12" s="3">
        <v>133766975065.2283</v>
      </c>
      <c r="N12" s="3">
        <v>181081144969.03299</v>
      </c>
      <c r="O12" s="3">
        <v>188417119001.59909</v>
      </c>
      <c r="Q12" s="7">
        <v>0.31465325732244909</v>
      </c>
      <c r="R12" s="7">
        <v>0.28893402418142178</v>
      </c>
      <c r="S12" s="7">
        <v>0.20371264225698729</v>
      </c>
      <c r="T12" s="7">
        <v>0.21767826248158709</v>
      </c>
      <c r="V12" s="7">
        <v>0.14577391214347249</v>
      </c>
      <c r="W12" s="7">
        <v>0.1698364731845135</v>
      </c>
      <c r="X12" s="7">
        <v>0.1831007119816247</v>
      </c>
      <c r="Y12" s="7">
        <v>0.1926309381795836</v>
      </c>
      <c r="AA12" s="9">
        <v>15.46589877717931</v>
      </c>
      <c r="AB12" s="9">
        <v>16.657303360908472</v>
      </c>
      <c r="AC12" s="9">
        <v>12.720162342192481</v>
      </c>
      <c r="AD12" s="9">
        <v>10.547549955945801</v>
      </c>
    </row>
    <row r="13" spans="1:30" x14ac:dyDescent="0.25">
      <c r="A13" s="1">
        <v>38352</v>
      </c>
      <c r="B13" s="3">
        <v>276701911463.37378</v>
      </c>
      <c r="C13" s="3">
        <v>265667568560.39819</v>
      </c>
      <c r="D13" s="3">
        <v>1021767201260.819</v>
      </c>
      <c r="E13" s="3">
        <v>932681066950.1748</v>
      </c>
      <c r="G13" s="3">
        <v>604910924977.11011</v>
      </c>
      <c r="H13" s="3">
        <v>543822147149.4389</v>
      </c>
      <c r="I13" s="3">
        <v>798437867096.50061</v>
      </c>
      <c r="J13" s="3">
        <v>779275957628.25757</v>
      </c>
      <c r="L13" s="3">
        <v>141247368146.57031</v>
      </c>
      <c r="M13" s="3">
        <v>149973408302.5549</v>
      </c>
      <c r="N13" s="3">
        <v>171509581303.68619</v>
      </c>
      <c r="O13" s="3">
        <v>207411677923.80811</v>
      </c>
      <c r="Q13" s="7">
        <v>0.23350110291348289</v>
      </c>
      <c r="R13" s="7">
        <v>0.24479464055741559</v>
      </c>
      <c r="S13" s="7">
        <v>0.214806421853934</v>
      </c>
      <c r="T13" s="7">
        <v>0.23777491197733089</v>
      </c>
      <c r="V13" s="7">
        <v>0.1467539250695015</v>
      </c>
      <c r="W13" s="7">
        <v>0.16769692196213859</v>
      </c>
      <c r="X13" s="7">
        <v>0.1665124934183809</v>
      </c>
      <c r="Y13" s="7">
        <v>0.18644781260105159</v>
      </c>
      <c r="AA13" s="9">
        <v>18.579325263929569</v>
      </c>
      <c r="AB13" s="9">
        <v>17.056289291665891</v>
      </c>
      <c r="AC13" s="9">
        <v>13.44276871642862</v>
      </c>
      <c r="AD13" s="9">
        <v>9.6509140103486484</v>
      </c>
    </row>
    <row r="14" spans="1:30" x14ac:dyDescent="0.25">
      <c r="A14" s="1">
        <v>38442</v>
      </c>
      <c r="B14" s="3">
        <v>289703393729.84192</v>
      </c>
      <c r="C14" s="3">
        <v>274741466750.43121</v>
      </c>
      <c r="D14" s="3">
        <v>872347633147.37512</v>
      </c>
      <c r="E14" s="3">
        <v>962406135268.65674</v>
      </c>
      <c r="G14" s="3">
        <v>607827278482.75317</v>
      </c>
      <c r="H14" s="3">
        <v>596840966208.19714</v>
      </c>
      <c r="I14" s="3">
        <v>739061937023.32275</v>
      </c>
      <c r="J14" s="3">
        <v>763664634055.56885</v>
      </c>
      <c r="L14" s="3">
        <v>166673708504.40259</v>
      </c>
      <c r="M14" s="3">
        <v>151691520340.9772</v>
      </c>
      <c r="N14" s="3">
        <v>142328530533.35181</v>
      </c>
      <c r="O14" s="3">
        <v>148824253903.1246</v>
      </c>
      <c r="Q14" s="7">
        <v>0.27421228760981298</v>
      </c>
      <c r="R14" s="7">
        <v>0.26347419797130539</v>
      </c>
      <c r="S14" s="7">
        <v>0.19257997659384299</v>
      </c>
      <c r="T14" s="7">
        <v>0.26741113482526557</v>
      </c>
      <c r="V14" s="7">
        <v>0.18260476500567699</v>
      </c>
      <c r="W14" s="7">
        <v>0.16615774891105459</v>
      </c>
      <c r="X14" s="7">
        <v>0.1548542154375887</v>
      </c>
      <c r="Y14" s="7">
        <v>0.10596803169117421</v>
      </c>
      <c r="AA14" s="9">
        <v>17.907472948453449</v>
      </c>
      <c r="AB14" s="9">
        <v>17.553629736497481</v>
      </c>
      <c r="AC14" s="9">
        <v>9.0766922920222139</v>
      </c>
      <c r="AD14" s="9">
        <v>9.4136726535420134</v>
      </c>
    </row>
    <row r="15" spans="1:30" x14ac:dyDescent="0.25">
      <c r="A15" s="1">
        <v>38533</v>
      </c>
      <c r="B15" s="3">
        <v>276269625174.96167</v>
      </c>
      <c r="C15" s="3">
        <v>282355334824.22131</v>
      </c>
      <c r="D15" s="3">
        <v>970982196777.9115</v>
      </c>
      <c r="E15" s="3">
        <v>992455165402.15637</v>
      </c>
      <c r="G15" s="3">
        <v>614721754174.177</v>
      </c>
      <c r="H15" s="3">
        <v>655665969133.875</v>
      </c>
      <c r="I15" s="3">
        <v>675627285085.40723</v>
      </c>
      <c r="J15" s="3">
        <v>773107682967.44153</v>
      </c>
      <c r="L15" s="3">
        <v>149604573562.95831</v>
      </c>
      <c r="M15" s="3">
        <v>161755380621.36371</v>
      </c>
      <c r="N15" s="3">
        <v>160585017517.6207</v>
      </c>
      <c r="O15" s="3">
        <v>155930035953.54999</v>
      </c>
      <c r="Q15" s="7">
        <v>0.24336957745043289</v>
      </c>
      <c r="R15" s="7">
        <v>0.25306686425432617</v>
      </c>
      <c r="S15" s="7">
        <v>0.23768284831380199</v>
      </c>
      <c r="T15" s="7">
        <v>0.11802418490861399</v>
      </c>
      <c r="V15" s="7">
        <v>0.1531227896916916</v>
      </c>
      <c r="W15" s="7">
        <v>0.16595990447178161</v>
      </c>
      <c r="X15" s="7">
        <v>0.14476198117351341</v>
      </c>
      <c r="Y15" s="7">
        <v>0.17091270991198751</v>
      </c>
      <c r="AA15" s="9">
        <v>15.523387055879949</v>
      </c>
      <c r="AB15" s="9">
        <v>18.200852252071709</v>
      </c>
      <c r="AC15" s="9">
        <v>10.321954239697821</v>
      </c>
      <c r="AD15" s="9">
        <v>13.803053385401411</v>
      </c>
    </row>
    <row r="16" spans="1:30" x14ac:dyDescent="0.25">
      <c r="A16" s="1">
        <v>38625</v>
      </c>
      <c r="B16" s="3">
        <v>261931161409.36249</v>
      </c>
      <c r="C16" s="3">
        <v>281696437963.24573</v>
      </c>
      <c r="D16" s="3">
        <v>1043640661965.1021</v>
      </c>
      <c r="E16" s="3">
        <v>1028833908406.853</v>
      </c>
      <c r="G16" s="3">
        <v>784875744407.0564</v>
      </c>
      <c r="H16" s="3">
        <v>818402395437.09949</v>
      </c>
      <c r="I16" s="3">
        <v>715336238302.8269</v>
      </c>
      <c r="J16" s="3">
        <v>908681161986.05896</v>
      </c>
      <c r="L16" s="3">
        <v>220400399629.8414</v>
      </c>
      <c r="M16" s="3">
        <v>199284578971.509</v>
      </c>
      <c r="N16" s="3">
        <v>233590843071.32401</v>
      </c>
      <c r="O16" s="3">
        <v>227396342057.37799</v>
      </c>
      <c r="Q16" s="7">
        <v>0.28080928885927731</v>
      </c>
      <c r="R16" s="7">
        <v>0.28110158202524888</v>
      </c>
      <c r="S16" s="7">
        <v>0.32654691676956088</v>
      </c>
      <c r="T16" s="7">
        <v>0.34190946599568051</v>
      </c>
      <c r="V16" s="7">
        <v>0.15800182626017931</v>
      </c>
      <c r="W16" s="7">
        <v>0.16681070111486929</v>
      </c>
      <c r="X16" s="7">
        <v>0.16731816190059801</v>
      </c>
      <c r="Y16" s="7">
        <v>0.1638286437986618</v>
      </c>
      <c r="AA16" s="9">
        <v>18.28673900501737</v>
      </c>
      <c r="AB16" s="9">
        <v>18.806838002537891</v>
      </c>
      <c r="AC16" s="9">
        <v>11.628793424474051</v>
      </c>
      <c r="AD16" s="9">
        <v>11.08607945562135</v>
      </c>
    </row>
    <row r="17" spans="1:30" x14ac:dyDescent="0.25">
      <c r="A17" s="1">
        <v>38717</v>
      </c>
      <c r="B17" s="3">
        <v>302028462497.9444</v>
      </c>
      <c r="C17" s="3">
        <v>290339692470.61621</v>
      </c>
      <c r="D17" s="3">
        <v>1163579275455.342</v>
      </c>
      <c r="E17" s="3">
        <v>1064922536978.011</v>
      </c>
      <c r="G17" s="3">
        <v>850421640480.8772</v>
      </c>
      <c r="H17" s="3">
        <v>776476382566.89124</v>
      </c>
      <c r="I17" s="3">
        <v>689267705871.06714</v>
      </c>
      <c r="J17" s="3">
        <v>749327717655.20593</v>
      </c>
      <c r="L17" s="3">
        <v>194496260969.2692</v>
      </c>
      <c r="M17" s="3">
        <v>220399860616.8909</v>
      </c>
      <c r="N17" s="3">
        <v>139382167337.01059</v>
      </c>
      <c r="O17" s="3">
        <v>285240334295.57288</v>
      </c>
      <c r="Q17" s="7">
        <v>0.22870568164197921</v>
      </c>
      <c r="R17" s="7">
        <v>0.23754827861671829</v>
      </c>
      <c r="S17" s="7">
        <v>0.20221775392895469</v>
      </c>
      <c r="T17" s="7">
        <v>0.25808268838380299</v>
      </c>
      <c r="V17" s="7">
        <v>0.19324449798714291</v>
      </c>
      <c r="W17" s="7">
        <v>0.1770502218826418</v>
      </c>
      <c r="X17" s="7">
        <v>0.1581187728314884</v>
      </c>
      <c r="Y17" s="7">
        <v>0.15753376522708559</v>
      </c>
      <c r="AA17" s="9">
        <v>20.343007495117011</v>
      </c>
      <c r="AB17" s="9">
        <v>17.811863549502231</v>
      </c>
      <c r="AC17" s="9">
        <v>11.563511540588509</v>
      </c>
      <c r="AD17" s="9">
        <v>8.7691210046685022</v>
      </c>
    </row>
    <row r="18" spans="1:30" x14ac:dyDescent="0.25">
      <c r="A18" s="1">
        <v>38807</v>
      </c>
      <c r="B18" s="3">
        <v>318252685622.66089</v>
      </c>
      <c r="C18" s="3">
        <v>299897924001.35773</v>
      </c>
      <c r="D18" s="3">
        <v>1001578828521.7939</v>
      </c>
      <c r="E18" s="3">
        <v>1100852314414.1919</v>
      </c>
      <c r="G18" s="3">
        <v>1034945512334.114</v>
      </c>
      <c r="H18" s="3">
        <v>1059545249026.593</v>
      </c>
      <c r="I18" s="3">
        <v>740043407203.44214</v>
      </c>
      <c r="J18" s="3">
        <v>611102255480.64307</v>
      </c>
      <c r="L18" s="3">
        <v>261020544766.55051</v>
      </c>
      <c r="M18" s="3">
        <v>261756344149.7308</v>
      </c>
      <c r="N18" s="3">
        <v>234407204242.37009</v>
      </c>
      <c r="O18" s="3">
        <v>423740398248.28052</v>
      </c>
      <c r="Q18" s="7">
        <v>0.25220704052126419</v>
      </c>
      <c r="R18" s="7">
        <v>0.2369099891372245</v>
      </c>
      <c r="S18" s="7">
        <v>0.31674791229905552</v>
      </c>
      <c r="T18" s="7">
        <v>0.3792641288629191</v>
      </c>
      <c r="V18" s="7">
        <v>0.15640901032408919</v>
      </c>
      <c r="W18" s="7">
        <v>0.1403982647193609</v>
      </c>
      <c r="X18" s="7">
        <v>0.18648590674890919</v>
      </c>
      <c r="Y18" s="7">
        <v>0.15200079037875019</v>
      </c>
      <c r="AA18" s="9">
        <v>24.171570273719151</v>
      </c>
      <c r="AB18" s="9">
        <v>23.80234281927228</v>
      </c>
      <c r="AC18" s="9">
        <v>13.104744728702251</v>
      </c>
      <c r="AD18" s="9">
        <v>13.2166420075232</v>
      </c>
    </row>
    <row r="19" spans="1:30" x14ac:dyDescent="0.25">
      <c r="A19" s="1">
        <v>38898</v>
      </c>
      <c r="B19" s="3">
        <v>288168618794.20239</v>
      </c>
      <c r="C19" s="3">
        <v>297143184344.0022</v>
      </c>
      <c r="D19" s="3">
        <v>1123775543388.2009</v>
      </c>
      <c r="E19" s="3">
        <v>1140177840956.7759</v>
      </c>
      <c r="G19" s="3">
        <v>914111509011.21362</v>
      </c>
      <c r="H19" s="3">
        <v>913741987407.2168</v>
      </c>
      <c r="I19" s="3">
        <v>929916407445.45764</v>
      </c>
      <c r="J19" s="3">
        <v>591255607721.67749</v>
      </c>
      <c r="L19" s="3">
        <v>263547940502.7215</v>
      </c>
      <c r="M19" s="3">
        <v>271737030850.66251</v>
      </c>
      <c r="N19" s="3">
        <v>565492942888.31921</v>
      </c>
      <c r="O19" s="3">
        <v>569435770643.97119</v>
      </c>
      <c r="Q19" s="7">
        <v>0.28831049374687229</v>
      </c>
      <c r="R19" s="7">
        <v>0.29690037459514068</v>
      </c>
      <c r="S19" s="7">
        <v>0.60811158762298434</v>
      </c>
      <c r="T19" s="7">
        <v>0.40084586906181169</v>
      </c>
      <c r="V19" s="7">
        <v>0.44133883143714298</v>
      </c>
      <c r="W19" s="7">
        <v>0.47679456362993561</v>
      </c>
      <c r="X19" s="7">
        <v>0.29243318407726709</v>
      </c>
      <c r="Y19" s="7">
        <v>0.35887891479785178</v>
      </c>
      <c r="AA19" s="9">
        <v>18.58033186803133</v>
      </c>
      <c r="AB19" s="9">
        <v>21.275738373277481</v>
      </c>
      <c r="AC19" s="9">
        <v>13.984748528502911</v>
      </c>
      <c r="AD19" s="9">
        <v>14.42050028742791</v>
      </c>
    </row>
    <row r="20" spans="1:30" x14ac:dyDescent="0.25">
      <c r="A20" s="1">
        <v>38990</v>
      </c>
      <c r="B20" s="3">
        <v>283653381214.90448</v>
      </c>
      <c r="C20" s="3">
        <v>307969409122.39252</v>
      </c>
      <c r="D20" s="3">
        <v>1199029101299.1631</v>
      </c>
      <c r="E20" s="3">
        <v>1186480586259.5959</v>
      </c>
      <c r="G20" s="3">
        <v>981354466844.38892</v>
      </c>
      <c r="H20" s="3">
        <v>987216405604.99792</v>
      </c>
      <c r="I20" s="3">
        <v>1103274112461.3979</v>
      </c>
      <c r="J20" s="3">
        <v>1726600091989.436</v>
      </c>
      <c r="L20" s="3">
        <v>191106969063.78922</v>
      </c>
      <c r="M20" s="3">
        <v>147565380584.37781</v>
      </c>
      <c r="N20" s="3">
        <v>425050563054.90228</v>
      </c>
      <c r="O20" s="3">
        <v>-61841680894.566772</v>
      </c>
      <c r="Q20" s="7">
        <v>0.1947379621945437</v>
      </c>
      <c r="R20" s="7">
        <v>0.22360356953601429</v>
      </c>
      <c r="S20" s="7">
        <v>0.38526288095948968</v>
      </c>
      <c r="T20" s="7">
        <v>0.42358771150611851</v>
      </c>
      <c r="V20" s="7">
        <v>0.22320847015540979</v>
      </c>
      <c r="W20" s="7">
        <v>0.22634982350702559</v>
      </c>
      <c r="X20" s="7">
        <v>0.14399969079605701</v>
      </c>
      <c r="Y20" s="7">
        <v>0.120451889114827</v>
      </c>
      <c r="AA20" s="9">
        <v>22.189007572848549</v>
      </c>
      <c r="AB20" s="9">
        <v>21.97905739695738</v>
      </c>
      <c r="AC20" s="9">
        <v>13.817538795237789</v>
      </c>
      <c r="AD20" s="9">
        <v>15.674743503544351</v>
      </c>
    </row>
    <row r="21" spans="1:30" x14ac:dyDescent="0.25">
      <c r="A21" s="1">
        <v>39082</v>
      </c>
      <c r="B21" s="3">
        <v>325879315396.58478</v>
      </c>
      <c r="C21" s="3">
        <v>307995272882.99109</v>
      </c>
      <c r="D21" s="3">
        <v>1345104371843.8101</v>
      </c>
      <c r="E21" s="3">
        <v>1233906964710.2209</v>
      </c>
      <c r="G21" s="3">
        <v>1162973385801.5601</v>
      </c>
      <c r="H21" s="3">
        <v>1056926224359.573</v>
      </c>
      <c r="I21" s="3">
        <v>1864146368075.365</v>
      </c>
      <c r="J21" s="3">
        <v>2049673954690.104</v>
      </c>
      <c r="L21" s="3">
        <v>242310903064.28381</v>
      </c>
      <c r="M21" s="3">
        <v>273163778191.62759</v>
      </c>
      <c r="N21" s="3">
        <v>672498818196.81482</v>
      </c>
      <c r="O21" s="3">
        <v>888738840623.4408</v>
      </c>
      <c r="Q21" s="7">
        <v>0.20835464166471451</v>
      </c>
      <c r="R21" s="7">
        <v>0.22143899813307949</v>
      </c>
      <c r="S21" s="7">
        <v>0.36075430004519182</v>
      </c>
      <c r="T21" s="7">
        <v>0.44699009342181228</v>
      </c>
      <c r="V21" s="7">
        <v>0.17364328436673171</v>
      </c>
      <c r="W21" s="7">
        <v>0.15071172542541361</v>
      </c>
      <c r="X21" s="7">
        <v>0.19842892166151219</v>
      </c>
      <c r="Y21" s="7">
        <v>0.15548086776027431</v>
      </c>
      <c r="AA21" s="9">
        <v>26.038261657986919</v>
      </c>
      <c r="AB21" s="9">
        <v>22.493276826933521</v>
      </c>
      <c r="AC21" s="9">
        <v>18.7737554399224</v>
      </c>
      <c r="AD21" s="9">
        <v>16.952091799809569</v>
      </c>
    </row>
    <row r="22" spans="1:30" x14ac:dyDescent="0.25">
      <c r="A22" s="1">
        <v>39172</v>
      </c>
      <c r="B22" s="3">
        <v>332956751737.15289</v>
      </c>
      <c r="C22" s="3">
        <v>316146284403.55969</v>
      </c>
      <c r="D22" s="3">
        <v>1183663663595.625</v>
      </c>
      <c r="E22" s="3">
        <v>1299666422581.6179</v>
      </c>
      <c r="G22" s="3">
        <v>1077677157471.601</v>
      </c>
      <c r="H22" s="3">
        <v>1126729375673.4441</v>
      </c>
      <c r="I22" s="3">
        <v>2609278040939.0068</v>
      </c>
      <c r="J22" s="3">
        <v>2364180026313.7891</v>
      </c>
      <c r="L22" s="3">
        <v>248820913420.12619</v>
      </c>
      <c r="M22" s="3">
        <v>273379795558.2984</v>
      </c>
      <c r="N22" s="3">
        <v>1529135482364.5249</v>
      </c>
      <c r="O22" s="3">
        <v>1734603257974.8831</v>
      </c>
      <c r="Q22" s="7">
        <v>0.2308863203558095</v>
      </c>
      <c r="R22" s="7">
        <v>0.22293667468279921</v>
      </c>
      <c r="S22" s="7">
        <v>0.58603776921152928</v>
      </c>
      <c r="T22" s="7">
        <v>0.58781148118008786</v>
      </c>
      <c r="V22" s="7">
        <v>0.25824603433904342</v>
      </c>
      <c r="W22" s="7">
        <v>0.24834544633122529</v>
      </c>
      <c r="X22" s="7">
        <v>0.26138395566920042</v>
      </c>
      <c r="Y22" s="7">
        <v>0.30026094554668509</v>
      </c>
      <c r="AA22" s="9">
        <v>23.284975749867119</v>
      </c>
      <c r="AB22" s="9">
        <v>22.831168879527969</v>
      </c>
      <c r="AC22" s="9">
        <v>18.824519113434619</v>
      </c>
      <c r="AD22" s="9">
        <v>18.374643697381561</v>
      </c>
    </row>
    <row r="23" spans="1:30" x14ac:dyDescent="0.25">
      <c r="A23" s="1">
        <v>39263</v>
      </c>
      <c r="B23" s="3">
        <v>313774417598.63843</v>
      </c>
      <c r="C23" s="3">
        <v>324823476138.53998</v>
      </c>
      <c r="D23" s="3">
        <v>1335120041942.376</v>
      </c>
      <c r="E23" s="3">
        <v>1345495787230.5249</v>
      </c>
      <c r="G23" s="3">
        <v>1256779749559.4819</v>
      </c>
      <c r="H23" s="3">
        <v>1205025887503.0811</v>
      </c>
      <c r="I23" s="3">
        <v>3375473015151.0708</v>
      </c>
      <c r="J23" s="3">
        <v>2623649776339.9819</v>
      </c>
      <c r="L23" s="3">
        <v>266061461037.4502</v>
      </c>
      <c r="M23" s="3">
        <v>251829984517.50531</v>
      </c>
      <c r="N23" s="3">
        <v>3292520527268.875</v>
      </c>
      <c r="O23" s="3">
        <v>3646860670626.478</v>
      </c>
      <c r="Q23" s="7">
        <v>0.21170094531735439</v>
      </c>
      <c r="R23" s="7">
        <v>0.18404628891151381</v>
      </c>
      <c r="S23" s="7">
        <v>0.97542492933290914</v>
      </c>
      <c r="T23" s="7">
        <v>0.86241077281764988</v>
      </c>
      <c r="V23" s="7">
        <v>0.19889698510428311</v>
      </c>
      <c r="W23" s="7">
        <v>0.26283386055439839</v>
      </c>
      <c r="X23" s="7">
        <v>0.20654603927572401</v>
      </c>
      <c r="Y23" s="7">
        <v>0.31809360734428332</v>
      </c>
      <c r="AA23" s="9">
        <v>21.08878928962255</v>
      </c>
      <c r="AB23" s="9">
        <v>25.791341056645201</v>
      </c>
      <c r="AC23" s="9">
        <v>21.1776707009776</v>
      </c>
      <c r="AD23" s="9">
        <v>22.261984226974199</v>
      </c>
    </row>
    <row r="24" spans="1:30" x14ac:dyDescent="0.25">
      <c r="A24" s="1">
        <v>39355</v>
      </c>
      <c r="B24" s="3">
        <v>302712183660.58392</v>
      </c>
      <c r="C24" s="3">
        <v>332974792313.55127</v>
      </c>
      <c r="D24" s="3">
        <v>1400862512638.5691</v>
      </c>
      <c r="E24" s="3">
        <v>1385779969245.001</v>
      </c>
      <c r="G24" s="3">
        <v>1598198923307.406</v>
      </c>
      <c r="H24" s="3">
        <v>1572754161743.053</v>
      </c>
      <c r="I24" s="3">
        <v>5030749429433.417</v>
      </c>
      <c r="J24" s="3">
        <v>5774698554967.1738</v>
      </c>
      <c r="L24" s="3">
        <v>343512598384.71521</v>
      </c>
      <c r="M24" s="3">
        <v>276140116600.77063</v>
      </c>
      <c r="N24" s="3">
        <v>2662623507780.9658</v>
      </c>
      <c r="O24" s="3">
        <v>1705943155695.5591</v>
      </c>
      <c r="Q24" s="7">
        <v>0.21493732311734401</v>
      </c>
      <c r="R24" s="7">
        <v>0.23009955108954519</v>
      </c>
      <c r="S24" s="7">
        <v>0.52926975297214141</v>
      </c>
      <c r="T24" s="7">
        <v>0.60172936269625543</v>
      </c>
      <c r="V24" s="7">
        <v>0.26540884946881699</v>
      </c>
      <c r="W24" s="7">
        <v>0.27816564313605779</v>
      </c>
      <c r="X24" s="7">
        <v>0.37356639033859418</v>
      </c>
      <c r="Y24" s="7">
        <v>0.33386508632943862</v>
      </c>
      <c r="AA24" s="9">
        <v>24.45543263041608</v>
      </c>
      <c r="AB24" s="9">
        <v>23.255809684510911</v>
      </c>
      <c r="AC24" s="9">
        <v>26.003824205835031</v>
      </c>
      <c r="AD24" s="9">
        <v>30.67536908518408</v>
      </c>
    </row>
    <row r="25" spans="1:30" x14ac:dyDescent="0.25">
      <c r="A25" s="1">
        <v>39447</v>
      </c>
      <c r="B25" s="3">
        <v>368713244011.44891</v>
      </c>
      <c r="C25" s="3">
        <v>346806780086.44019</v>
      </c>
      <c r="D25" s="3">
        <v>1560209123974.0149</v>
      </c>
      <c r="E25" s="3">
        <v>1429349611020.8411</v>
      </c>
      <c r="G25" s="3">
        <v>1989906918030.4451</v>
      </c>
      <c r="H25" s="3">
        <v>2073928230434.3911</v>
      </c>
      <c r="I25" s="3">
        <v>6391767493212.3584</v>
      </c>
      <c r="J25" s="3">
        <v>6616081793954.4238</v>
      </c>
      <c r="L25" s="3">
        <v>537995414421.5282</v>
      </c>
      <c r="M25" s="3">
        <v>592028062984.63574</v>
      </c>
      <c r="N25" s="3">
        <v>1746485026180.604</v>
      </c>
      <c r="O25" s="3">
        <v>1912302821562.1311</v>
      </c>
      <c r="Q25" s="7">
        <v>0.27036210063233568</v>
      </c>
      <c r="R25" s="7">
        <v>0.27850125819096971</v>
      </c>
      <c r="S25" s="7">
        <v>0.27323976162075009</v>
      </c>
      <c r="T25" s="7">
        <v>0.33305086624268748</v>
      </c>
      <c r="V25" s="7">
        <v>0.31889328410785528</v>
      </c>
      <c r="W25" s="7">
        <v>0.29317463685901118</v>
      </c>
      <c r="X25" s="7">
        <v>0.42917816123929531</v>
      </c>
      <c r="Y25" s="7">
        <v>0.34640124101204312</v>
      </c>
      <c r="AA25" s="9">
        <v>29.6184616512143</v>
      </c>
      <c r="AB25" s="9">
        <v>23.354692293931208</v>
      </c>
      <c r="AC25" s="9">
        <v>25.764423923058441</v>
      </c>
      <c r="AD25" s="9">
        <v>18.10726350123451</v>
      </c>
    </row>
    <row r="26" spans="1:30" x14ac:dyDescent="0.25">
      <c r="A26" s="1">
        <v>39538</v>
      </c>
      <c r="B26" s="3">
        <v>359709787192.23132</v>
      </c>
      <c r="C26" s="3">
        <v>347778704686.29718</v>
      </c>
      <c r="D26" s="3">
        <v>1331217497679.4131</v>
      </c>
      <c r="E26" s="3">
        <v>1471908202646.4861</v>
      </c>
      <c r="G26" s="3">
        <v>1547152530655.208</v>
      </c>
      <c r="H26" s="3">
        <v>1586457834324.124</v>
      </c>
      <c r="I26" s="3">
        <v>4275702986212.4492</v>
      </c>
      <c r="J26" s="3">
        <v>3236000296188.377</v>
      </c>
      <c r="L26" s="3">
        <v>421070230784.85748</v>
      </c>
      <c r="M26" s="3">
        <v>445857363866.47113</v>
      </c>
      <c r="N26" s="3">
        <v>1813198731268.2141</v>
      </c>
      <c r="O26" s="3">
        <v>2028905882821.845</v>
      </c>
      <c r="Q26" s="7">
        <v>0.27215818895796728</v>
      </c>
      <c r="R26" s="7">
        <v>0.26993493359076209</v>
      </c>
      <c r="S26" s="7">
        <v>0.42407031945743312</v>
      </c>
      <c r="T26" s="7">
        <v>0.36625100297460861</v>
      </c>
      <c r="V26" s="7">
        <v>0.50629813278264435</v>
      </c>
      <c r="W26" s="7">
        <v>0.44663751666633589</v>
      </c>
      <c r="X26" s="7">
        <v>0.57584171419220542</v>
      </c>
      <c r="Y26" s="7">
        <v>0.55419782494779157</v>
      </c>
      <c r="AA26" s="9">
        <v>22.159704208997251</v>
      </c>
      <c r="AB26" s="9">
        <v>23.351963220444691</v>
      </c>
      <c r="AC26" s="9">
        <v>19.251454623998971</v>
      </c>
      <c r="AD26" s="9">
        <v>18.16382019316406</v>
      </c>
    </row>
    <row r="27" spans="1:30" x14ac:dyDescent="0.25">
      <c r="A27" s="1">
        <v>39629</v>
      </c>
      <c r="B27" s="3">
        <v>371461928616.85638</v>
      </c>
      <c r="C27" s="3">
        <v>378614560694.00427</v>
      </c>
      <c r="D27" s="3">
        <v>1505370901213.9309</v>
      </c>
      <c r="E27" s="3">
        <v>1514519667898.9341</v>
      </c>
      <c r="G27" s="3">
        <v>1203090138539.062</v>
      </c>
      <c r="H27" s="3">
        <v>1127292095897.6721</v>
      </c>
      <c r="I27" s="3">
        <v>3351577013993.2529</v>
      </c>
      <c r="J27" s="3">
        <v>3240055778750.8262</v>
      </c>
      <c r="L27" s="3">
        <v>341038244458.255</v>
      </c>
      <c r="M27" s="3">
        <v>287541681115.0235</v>
      </c>
      <c r="N27" s="3">
        <v>1377636835918.5281</v>
      </c>
      <c r="O27" s="3">
        <v>2068612164226.405</v>
      </c>
      <c r="Q27" s="7">
        <v>0.28346857274749587</v>
      </c>
      <c r="R27" s="7">
        <v>0.25929486410234842</v>
      </c>
      <c r="S27" s="7">
        <v>0.41104137848144978</v>
      </c>
      <c r="T27" s="7">
        <v>0.39542715756933411</v>
      </c>
      <c r="V27" s="7">
        <v>0.27479657865289142</v>
      </c>
      <c r="W27" s="7">
        <v>0.31731117700124101</v>
      </c>
      <c r="X27" s="7">
        <v>0.30687311030891712</v>
      </c>
      <c r="Y27" s="7">
        <v>0.35903697452126743</v>
      </c>
      <c r="AA27" s="9">
        <v>16.73321334129783</v>
      </c>
      <c r="AB27" s="9">
        <v>23.296083345807791</v>
      </c>
      <c r="AC27" s="9">
        <v>16.500203695460719</v>
      </c>
      <c r="AD27" s="9">
        <v>18.22907932127606</v>
      </c>
    </row>
    <row r="28" spans="1:30" x14ac:dyDescent="0.25">
      <c r="A28" s="1">
        <v>39721</v>
      </c>
      <c r="B28" s="3">
        <v>357827894615.08752</v>
      </c>
      <c r="C28" s="3">
        <v>382818647146.28473</v>
      </c>
      <c r="D28" s="3">
        <v>1578778884883.189</v>
      </c>
      <c r="E28" s="3">
        <v>1557448647891.064</v>
      </c>
      <c r="G28" s="3">
        <v>1173355222143.5481</v>
      </c>
      <c r="H28" s="3">
        <v>1121915355700.46</v>
      </c>
      <c r="I28" s="3">
        <v>2795779964564.1128</v>
      </c>
      <c r="J28" s="3">
        <v>3616041588100.5972</v>
      </c>
      <c r="L28" s="3">
        <v>316342877558.60162</v>
      </c>
      <c r="M28" s="3">
        <v>271408890027.7774</v>
      </c>
      <c r="N28" s="3">
        <v>877327937504.31006</v>
      </c>
      <c r="O28" s="3">
        <v>-64580727435.939331</v>
      </c>
      <c r="Q28" s="7">
        <v>0.26960537745823432</v>
      </c>
      <c r="R28" s="7">
        <v>0.26460550668894411</v>
      </c>
      <c r="S28" s="7">
        <v>0.31380435821997649</v>
      </c>
      <c r="T28" s="7">
        <v>0.42507194524166858</v>
      </c>
      <c r="V28" s="7">
        <v>0.46289717905987371</v>
      </c>
      <c r="W28" s="7">
        <v>0.47056898240241329</v>
      </c>
      <c r="X28" s="7">
        <v>0.47375762248627151</v>
      </c>
      <c r="Y28" s="7">
        <v>0.47389056243747418</v>
      </c>
      <c r="AA28" s="9">
        <v>15.513432859762521</v>
      </c>
      <c r="AB28" s="9">
        <v>14.85754597477669</v>
      </c>
      <c r="AC28" s="9">
        <v>10.726261367197541</v>
      </c>
      <c r="AD28" s="9">
        <v>18.27067669031538</v>
      </c>
    </row>
    <row r="29" spans="1:30" x14ac:dyDescent="0.25">
      <c r="A29" s="1">
        <v>39813</v>
      </c>
      <c r="B29" s="3">
        <v>385484340849.73578</v>
      </c>
      <c r="C29" s="3">
        <v>365639739910.39093</v>
      </c>
      <c r="D29" s="3">
        <v>1715637872532.7661</v>
      </c>
      <c r="E29" s="3">
        <v>1569371044712.0281</v>
      </c>
      <c r="G29" s="3">
        <v>867858036428.89807</v>
      </c>
      <c r="H29" s="3">
        <v>1152130058479.0139</v>
      </c>
      <c r="I29" s="3">
        <v>2311638662357.48</v>
      </c>
      <c r="J29" s="3">
        <v>2123765607968.407</v>
      </c>
      <c r="L29" s="3">
        <v>227387811512.11221</v>
      </c>
      <c r="M29" s="3">
        <v>302618524097.23743</v>
      </c>
      <c r="N29" s="3">
        <v>967159096816.54236</v>
      </c>
      <c r="O29" s="3">
        <v>784093408903.28772</v>
      </c>
      <c r="Q29" s="7">
        <v>0.26201037723609488</v>
      </c>
      <c r="R29" s="7">
        <v>0.26317894240857542</v>
      </c>
      <c r="S29" s="7">
        <v>0.41838679745484258</v>
      </c>
      <c r="T29" s="7">
        <v>0.43363691857456482</v>
      </c>
      <c r="V29" s="7">
        <v>0.67534144474984414</v>
      </c>
      <c r="W29" s="7">
        <v>0.69989264768754755</v>
      </c>
      <c r="X29" s="7">
        <v>0.82571155849904787</v>
      </c>
      <c r="Y29" s="7">
        <v>0.81752896598106928</v>
      </c>
      <c r="AA29" s="9">
        <v>11.20069350821278</v>
      </c>
      <c r="AB29" s="9">
        <v>7.3242754845791129</v>
      </c>
      <c r="AC29" s="9">
        <v>9.9050312880116174</v>
      </c>
      <c r="AD29" s="9">
        <v>4.8059447845412064</v>
      </c>
    </row>
    <row r="30" spans="1:30" x14ac:dyDescent="0.25">
      <c r="A30" s="1">
        <v>39903</v>
      </c>
      <c r="B30" s="3">
        <v>377065010722.08173</v>
      </c>
      <c r="C30" s="3">
        <v>366258565957.84003</v>
      </c>
      <c r="D30" s="3">
        <v>1429368750315.7319</v>
      </c>
      <c r="E30" s="3">
        <v>1591578961592.0601</v>
      </c>
      <c r="G30" s="3">
        <v>797459285009.42468</v>
      </c>
      <c r="H30" s="3">
        <v>752973365831.15149</v>
      </c>
      <c r="I30" s="3">
        <v>3063475628285.4351</v>
      </c>
      <c r="J30" s="3">
        <v>2509027131112.9492</v>
      </c>
      <c r="L30" s="3">
        <v>203072901230.53271</v>
      </c>
      <c r="M30" s="3">
        <v>226171162629.25821</v>
      </c>
      <c r="N30" s="3">
        <v>1757964896967.6321</v>
      </c>
      <c r="O30" s="3">
        <v>2008282877045.6621</v>
      </c>
      <c r="Q30" s="7">
        <v>0.25464986745766299</v>
      </c>
      <c r="R30" s="7">
        <v>0.25500517151767133</v>
      </c>
      <c r="S30" s="7">
        <v>0.57384654238347221</v>
      </c>
      <c r="T30" s="7">
        <v>0.48218533240226252</v>
      </c>
      <c r="V30" s="7">
        <v>0.44574074216275361</v>
      </c>
      <c r="W30" s="7">
        <v>0.33336233066633553</v>
      </c>
      <c r="X30" s="7">
        <v>0.43174953314284747</v>
      </c>
      <c r="Y30" s="7">
        <v>0.34646706657609577</v>
      </c>
      <c r="AA30" s="9">
        <v>11.34866431117182</v>
      </c>
      <c r="AB30" s="9">
        <v>10.7735593267686</v>
      </c>
      <c r="AC30" s="9">
        <v>12.032599924029871</v>
      </c>
      <c r="AD30" s="9">
        <v>10.048290899178379</v>
      </c>
    </row>
    <row r="31" spans="1:30" x14ac:dyDescent="0.25">
      <c r="A31" s="1">
        <v>39994</v>
      </c>
      <c r="B31" s="3">
        <v>369925177394.05249</v>
      </c>
      <c r="C31" s="3">
        <v>373390444615.26147</v>
      </c>
      <c r="D31" s="3">
        <v>1631834777686.9771</v>
      </c>
      <c r="E31" s="3">
        <v>1645762319809.428</v>
      </c>
      <c r="G31" s="3">
        <v>1279073930937.322</v>
      </c>
      <c r="H31" s="3">
        <v>1226550511307.1709</v>
      </c>
      <c r="I31" s="3">
        <v>3851299132656.4531</v>
      </c>
      <c r="J31" s="3">
        <v>4164696881670.293</v>
      </c>
      <c r="L31" s="3">
        <v>405836984317.84521</v>
      </c>
      <c r="M31" s="3">
        <v>384031426457.68518</v>
      </c>
      <c r="N31" s="3">
        <v>2462095219485.4561</v>
      </c>
      <c r="O31" s="3">
        <v>2942049693580.4702</v>
      </c>
      <c r="Q31" s="7">
        <v>0.3172897003853738</v>
      </c>
      <c r="R31" s="7">
        <v>0.31479204098727898</v>
      </c>
      <c r="S31" s="7">
        <v>0.6392895318383679</v>
      </c>
      <c r="T31" s="7">
        <v>0.62751357944742159</v>
      </c>
      <c r="V31" s="7">
        <v>0.56947856644102746</v>
      </c>
      <c r="W31" s="7">
        <v>0.59720410023829607</v>
      </c>
      <c r="X31" s="7">
        <v>0.3544331529103123</v>
      </c>
      <c r="Y31" s="7">
        <v>0.37611287192115223</v>
      </c>
      <c r="AA31" s="9">
        <v>17.718119532421969</v>
      </c>
      <c r="AB31" s="9">
        <v>21.828616314575601</v>
      </c>
      <c r="AC31" s="9">
        <v>17.027965673928041</v>
      </c>
      <c r="AD31" s="9">
        <v>18.23925375827714</v>
      </c>
    </row>
    <row r="32" spans="1:30" x14ac:dyDescent="0.25">
      <c r="A32" s="1">
        <v>40086</v>
      </c>
      <c r="B32" s="3">
        <v>358845090582.24213</v>
      </c>
      <c r="C32" s="3">
        <v>378613886625.95709</v>
      </c>
      <c r="D32" s="3">
        <v>1745506123854.761</v>
      </c>
      <c r="E32" s="3">
        <v>1717741791396.293</v>
      </c>
      <c r="G32" s="3">
        <v>1349555131599.3059</v>
      </c>
      <c r="H32" s="3">
        <v>1283184265064.5</v>
      </c>
      <c r="I32" s="3">
        <v>3763200549830.3262</v>
      </c>
      <c r="J32" s="3">
        <v>4280291292416.9902</v>
      </c>
      <c r="L32" s="3">
        <v>388213262501.53583</v>
      </c>
      <c r="M32" s="3">
        <v>351151186238.25403</v>
      </c>
      <c r="N32" s="3">
        <v>3161578504110.8672</v>
      </c>
      <c r="O32" s="3">
        <v>3133933704017.3042</v>
      </c>
      <c r="Q32" s="7">
        <v>0.28766017290562951</v>
      </c>
      <c r="R32" s="7">
        <v>0.28677087443429361</v>
      </c>
      <c r="S32" s="7">
        <v>0.84013021954235612</v>
      </c>
      <c r="T32" s="7">
        <v>0.90613881798792595</v>
      </c>
      <c r="V32" s="7">
        <v>0.32999763645712848</v>
      </c>
      <c r="W32" s="7">
        <v>0.32828029822676608</v>
      </c>
      <c r="X32" s="7">
        <v>0.28055549575418959</v>
      </c>
      <c r="Y32" s="7">
        <v>0.3164781655149968</v>
      </c>
      <c r="AA32" s="9">
        <v>21.40609327147801</v>
      </c>
      <c r="AB32" s="9">
        <v>21.345360768206959</v>
      </c>
      <c r="AC32" s="9">
        <v>19.013456099465319</v>
      </c>
      <c r="AD32" s="9">
        <v>23.088728427896559</v>
      </c>
    </row>
    <row r="33" spans="1:30" x14ac:dyDescent="0.25">
      <c r="A33" s="1">
        <v>40178</v>
      </c>
      <c r="B33" s="3">
        <v>393271224717.22693</v>
      </c>
      <c r="C33" s="3">
        <v>379629573301.31378</v>
      </c>
      <c r="D33" s="3">
        <v>1941963256482.3369</v>
      </c>
      <c r="E33" s="3">
        <v>1780110128587.501</v>
      </c>
      <c r="G33" s="3">
        <v>1388056915787.439</v>
      </c>
      <c r="H33" s="3">
        <v>1497377874266.9431</v>
      </c>
      <c r="I33" s="3">
        <v>4621905376040.8164</v>
      </c>
      <c r="J33" s="3">
        <v>4418404285473.0303</v>
      </c>
      <c r="L33" s="3">
        <v>315552789456.76318</v>
      </c>
      <c r="M33" s="3">
        <v>324906695364.68768</v>
      </c>
      <c r="N33" s="3">
        <v>2810371504410.042</v>
      </c>
      <c r="O33" s="3">
        <v>2257504559468.5752</v>
      </c>
      <c r="Q33" s="7">
        <v>0.22733418627704571</v>
      </c>
      <c r="R33" s="7">
        <v>0.2184273537022148</v>
      </c>
      <c r="S33" s="7">
        <v>0.60805474707001517</v>
      </c>
      <c r="T33" s="7">
        <v>0.54593950102138467</v>
      </c>
      <c r="V33" s="7">
        <v>0.24925350019732559</v>
      </c>
      <c r="W33" s="7">
        <v>0.31955453278574819</v>
      </c>
      <c r="X33" s="7">
        <v>0.23109868826684979</v>
      </c>
      <c r="Y33" s="7">
        <v>0.29325843078989888</v>
      </c>
      <c r="AA33" s="9">
        <v>22.282286219611841</v>
      </c>
      <c r="AB33" s="9">
        <v>20.873762088040142</v>
      </c>
      <c r="AC33" s="9">
        <v>20.08079487587619</v>
      </c>
      <c r="AD33" s="9">
        <v>17.48423893508463</v>
      </c>
    </row>
    <row r="34" spans="1:30" x14ac:dyDescent="0.25">
      <c r="A34" s="1">
        <v>40268</v>
      </c>
      <c r="B34" s="3">
        <v>405138747386.02502</v>
      </c>
      <c r="C34" s="3">
        <v>390934212027.3338</v>
      </c>
      <c r="D34" s="3">
        <v>1656555565353.6699</v>
      </c>
      <c r="E34" s="3">
        <v>1840189144167.4741</v>
      </c>
      <c r="G34" s="3">
        <v>1434856919644.156</v>
      </c>
      <c r="H34" s="3">
        <v>1408762001250.5459</v>
      </c>
      <c r="I34" s="3">
        <v>4552903874609.0215</v>
      </c>
      <c r="J34" s="3">
        <v>4482748384572.4775</v>
      </c>
      <c r="L34" s="3">
        <v>278780245545.66858</v>
      </c>
      <c r="M34" s="3">
        <v>298887985968.49219</v>
      </c>
      <c r="N34" s="3">
        <v>2159567624696.136</v>
      </c>
      <c r="O34" s="3">
        <v>2257092214030.1001</v>
      </c>
      <c r="Q34" s="7">
        <v>0.19429132042991851</v>
      </c>
      <c r="R34" s="7">
        <v>0.20139591143123889</v>
      </c>
      <c r="S34" s="7">
        <v>0.47432752462439981</v>
      </c>
      <c r="T34" s="7">
        <v>0.429860019236812</v>
      </c>
      <c r="V34" s="7">
        <v>0.19954260524551601</v>
      </c>
      <c r="W34" s="7">
        <v>0.14733710018890339</v>
      </c>
      <c r="X34" s="7">
        <v>0.23108026524099601</v>
      </c>
      <c r="Y34" s="7">
        <v>0.16831857432140801</v>
      </c>
      <c r="AA34" s="9">
        <v>22.66703267628537</v>
      </c>
      <c r="AB34" s="9">
        <v>20.42474830323037</v>
      </c>
      <c r="AC34" s="9">
        <v>19.982972175636661</v>
      </c>
      <c r="AD34" s="9">
        <v>17.021758370881159</v>
      </c>
    </row>
    <row r="35" spans="1:30" x14ac:dyDescent="0.25">
      <c r="A35" s="1">
        <v>40359</v>
      </c>
      <c r="B35" s="3">
        <v>391765133249.44489</v>
      </c>
      <c r="C35" s="3">
        <v>396340294895.3017</v>
      </c>
      <c r="D35" s="3">
        <v>1881226226851.761</v>
      </c>
      <c r="E35" s="3">
        <v>1899982713593.6201</v>
      </c>
      <c r="G35" s="3">
        <v>1514910036262.0049</v>
      </c>
      <c r="H35" s="3">
        <v>1506745831849.3149</v>
      </c>
      <c r="I35" s="3">
        <v>3631957441935.6729</v>
      </c>
      <c r="J35" s="3">
        <v>3619590262191.2422</v>
      </c>
      <c r="L35" s="3">
        <v>264624635671.33731</v>
      </c>
      <c r="M35" s="3">
        <v>273876945999.14951</v>
      </c>
      <c r="N35" s="3">
        <v>2046479632408.4819</v>
      </c>
      <c r="O35" s="3">
        <v>2291239764704.292</v>
      </c>
      <c r="Q35" s="7">
        <v>0.17468009937031681</v>
      </c>
      <c r="R35" s="7">
        <v>0.19153385983002549</v>
      </c>
      <c r="S35" s="7">
        <v>0.56346465098385035</v>
      </c>
      <c r="T35" s="7">
        <v>0.54826751038506161</v>
      </c>
      <c r="V35" s="7">
        <v>0.28472263463872871</v>
      </c>
      <c r="W35" s="7">
        <v>0.29393510242741627</v>
      </c>
      <c r="X35" s="7">
        <v>0.25084415031345808</v>
      </c>
      <c r="Y35" s="7">
        <v>0.2385849186006912</v>
      </c>
      <c r="AA35" s="9">
        <v>21.924606228785699</v>
      </c>
      <c r="AB35" s="9">
        <v>24.0518872656091</v>
      </c>
      <c r="AC35" s="9">
        <v>15.68488102601291</v>
      </c>
      <c r="AD35" s="9">
        <v>16.500815466588691</v>
      </c>
    </row>
    <row r="36" spans="1:30" x14ac:dyDescent="0.25">
      <c r="A36" s="1">
        <v>40451</v>
      </c>
      <c r="B36" s="3">
        <v>382786906050.72791</v>
      </c>
      <c r="C36" s="3">
        <v>407670567271.03882</v>
      </c>
      <c r="D36" s="3">
        <v>1995017623382.3159</v>
      </c>
      <c r="E36" s="3">
        <v>1957346272940.6809</v>
      </c>
      <c r="G36" s="3">
        <v>1590112187867.377</v>
      </c>
      <c r="H36" s="3">
        <v>1501884475840.9021</v>
      </c>
      <c r="I36" s="3">
        <v>4418577032403.7725</v>
      </c>
      <c r="J36" s="3">
        <v>4739829685449.541</v>
      </c>
      <c r="L36" s="3">
        <v>281458341564.23792</v>
      </c>
      <c r="M36" s="3">
        <v>250498274498.40811</v>
      </c>
      <c r="N36" s="3">
        <v>2297254645232.3418</v>
      </c>
      <c r="O36" s="3">
        <v>2236725622475.8608</v>
      </c>
      <c r="Q36" s="7">
        <v>0.1770053356686257</v>
      </c>
      <c r="R36" s="7">
        <v>0.17893364282761309</v>
      </c>
      <c r="S36" s="7">
        <v>0.51990824837619742</v>
      </c>
      <c r="T36" s="7">
        <v>0.53132967185058089</v>
      </c>
      <c r="V36" s="7">
        <v>0.14581630783390989</v>
      </c>
      <c r="W36" s="7">
        <v>0.1205234255515019</v>
      </c>
      <c r="X36" s="7">
        <v>0.1480886514910435</v>
      </c>
      <c r="Y36" s="7">
        <v>0.20970757479134519</v>
      </c>
      <c r="AA36" s="9">
        <v>24.40275368242386</v>
      </c>
      <c r="AB36" s="9">
        <v>25.314790343156801</v>
      </c>
      <c r="AC36" s="9">
        <v>15.382601873481541</v>
      </c>
      <c r="AD36" s="9">
        <v>15.918471891934461</v>
      </c>
    </row>
    <row r="37" spans="1:30" x14ac:dyDescent="0.25">
      <c r="A37" s="1">
        <v>40543</v>
      </c>
      <c r="B37" s="3">
        <v>425372890558.68842</v>
      </c>
      <c r="C37" s="3">
        <v>413384252533.31921</v>
      </c>
      <c r="D37" s="3">
        <v>2195589883012.9419</v>
      </c>
      <c r="E37" s="3">
        <v>2016330000555.53</v>
      </c>
      <c r="G37" s="3">
        <v>1592720108810.3879</v>
      </c>
      <c r="H37" s="3">
        <v>1523802281343.7959</v>
      </c>
      <c r="I37" s="3">
        <v>4805848890619.417</v>
      </c>
      <c r="J37" s="3">
        <v>4485554235094.1465</v>
      </c>
      <c r="L37" s="3">
        <v>295172537204.22229</v>
      </c>
      <c r="M37" s="3">
        <v>312936178982.6441</v>
      </c>
      <c r="N37" s="3">
        <v>3527110218634.1021</v>
      </c>
      <c r="O37" s="3">
        <v>3365259048712.2778</v>
      </c>
      <c r="Q37" s="7">
        <v>0.185326056707282</v>
      </c>
      <c r="R37" s="7">
        <v>0.1703129474570618</v>
      </c>
      <c r="S37" s="7">
        <v>0.73392033310050653</v>
      </c>
      <c r="T37" s="7">
        <v>0.73569394085537865</v>
      </c>
      <c r="V37" s="7">
        <v>0.20818348729900171</v>
      </c>
      <c r="W37" s="7">
        <v>0.26576773781002871</v>
      </c>
      <c r="X37" s="7">
        <v>0.1836029893181258</v>
      </c>
      <c r="Y37" s="7">
        <v>0.1799622364642797</v>
      </c>
      <c r="AA37" s="9">
        <v>20.512676208714019</v>
      </c>
      <c r="AB37" s="9">
        <v>19.09874570650528</v>
      </c>
      <c r="AC37" s="9">
        <v>14.939345891945811</v>
      </c>
      <c r="AD37" s="9">
        <v>15.29583405556353</v>
      </c>
    </row>
    <row r="38" spans="1:30" x14ac:dyDescent="0.25">
      <c r="A38" s="1">
        <v>40633</v>
      </c>
      <c r="B38" s="3">
        <v>441142297892.69971</v>
      </c>
      <c r="C38" s="3">
        <v>420053679176.49847</v>
      </c>
      <c r="D38" s="3">
        <v>1876268274232.397</v>
      </c>
      <c r="E38" s="3">
        <v>2081452634801.875</v>
      </c>
      <c r="G38" s="3">
        <v>1498399183158.7051</v>
      </c>
      <c r="H38" s="3">
        <v>1528511091722.811</v>
      </c>
      <c r="I38" s="3">
        <v>4904670782205.8223</v>
      </c>
      <c r="J38" s="3">
        <v>4942642527685.6738</v>
      </c>
      <c r="L38" s="3">
        <v>218061498369.56299</v>
      </c>
      <c r="M38" s="3">
        <v>208312065047.9458</v>
      </c>
      <c r="N38" s="3">
        <v>2393171032862.2642</v>
      </c>
      <c r="O38" s="3">
        <v>2324586484143.5698</v>
      </c>
      <c r="Q38" s="7">
        <v>0.14552964311544661</v>
      </c>
      <c r="R38" s="7">
        <v>0.1555810465615676</v>
      </c>
      <c r="S38" s="7">
        <v>0.487937139745384</v>
      </c>
      <c r="T38" s="7">
        <v>0.47958840426213478</v>
      </c>
      <c r="V38" s="7">
        <v>0.24417335977784399</v>
      </c>
      <c r="W38" s="7">
        <v>0.25173050354118848</v>
      </c>
      <c r="X38" s="7">
        <v>0.18967457482989769</v>
      </c>
      <c r="Y38" s="7">
        <v>0.15002199639811889</v>
      </c>
      <c r="AA38" s="9">
        <v>19.42364241550759</v>
      </c>
      <c r="AB38" s="9">
        <v>18.63877584158984</v>
      </c>
      <c r="AC38" s="9">
        <v>13.6037706631893</v>
      </c>
      <c r="AD38" s="9">
        <v>12.593595754005539</v>
      </c>
    </row>
    <row r="39" spans="1:30" x14ac:dyDescent="0.25">
      <c r="A39" s="1">
        <v>40724</v>
      </c>
      <c r="B39" s="3">
        <v>423741574205.98639</v>
      </c>
      <c r="C39" s="3">
        <v>430006992994.32617</v>
      </c>
      <c r="D39" s="3">
        <v>2121597763280.592</v>
      </c>
      <c r="E39" s="3">
        <v>2139876236004.396</v>
      </c>
      <c r="G39" s="3">
        <v>1464210958527.4141</v>
      </c>
      <c r="H39" s="3">
        <v>1486507267355.4641</v>
      </c>
      <c r="I39" s="3">
        <v>4641260120694.252</v>
      </c>
      <c r="J39" s="3">
        <v>4300055820115.3789</v>
      </c>
      <c r="L39" s="3">
        <v>188791057474.06201</v>
      </c>
      <c r="M39" s="3">
        <v>197278793610.92841</v>
      </c>
      <c r="N39" s="3">
        <v>1955721631279.9761</v>
      </c>
      <c r="O39" s="3">
        <v>1933619693489.21</v>
      </c>
      <c r="Q39" s="7">
        <v>0.12893706086173051</v>
      </c>
      <c r="R39" s="7">
        <v>0.14199227386305299</v>
      </c>
      <c r="S39" s="7">
        <v>0.42137729418781938</v>
      </c>
      <c r="T39" s="7">
        <v>0.42153105174352018</v>
      </c>
      <c r="V39" s="7">
        <v>0.18556848996069361</v>
      </c>
      <c r="W39" s="7">
        <v>0.17509299072452711</v>
      </c>
      <c r="X39" s="7">
        <v>0.1526484609811482</v>
      </c>
      <c r="Y39" s="7">
        <v>0.1364947017739202</v>
      </c>
      <c r="AA39" s="9">
        <v>18.002988493220649</v>
      </c>
      <c r="AB39" s="9">
        <v>18.148843992448921</v>
      </c>
      <c r="AC39" s="9">
        <v>13.31651034897515</v>
      </c>
      <c r="AD39" s="9">
        <v>14.03037048508858</v>
      </c>
    </row>
    <row r="40" spans="1:30" x14ac:dyDescent="0.25">
      <c r="A40" s="1">
        <v>40816</v>
      </c>
      <c r="B40" s="3">
        <v>397808259981.41681</v>
      </c>
      <c r="C40" s="3">
        <v>424612479563.92828</v>
      </c>
      <c r="D40" s="3">
        <v>2235470780336.3149</v>
      </c>
      <c r="E40" s="3">
        <v>2192423197170.957</v>
      </c>
      <c r="G40" s="3">
        <v>1218425207879.3491</v>
      </c>
      <c r="H40" s="3">
        <v>1188693989689.0581</v>
      </c>
      <c r="I40" s="3">
        <v>4027074170608.6919</v>
      </c>
      <c r="J40" s="3">
        <v>4177390810642.627</v>
      </c>
      <c r="L40" s="3">
        <v>180081337443.5101</v>
      </c>
      <c r="M40" s="3">
        <v>173686320536.69659</v>
      </c>
      <c r="N40" s="3">
        <v>1763617166739.939</v>
      </c>
      <c r="O40" s="3">
        <v>1706702691451.948</v>
      </c>
      <c r="Q40" s="7">
        <v>0.14779843381354441</v>
      </c>
      <c r="R40" s="7">
        <v>0.13859918747767391</v>
      </c>
      <c r="S40" s="7">
        <v>0.43794007560416209</v>
      </c>
      <c r="T40" s="7">
        <v>0.44692005369527638</v>
      </c>
      <c r="V40" s="7">
        <v>0.27318550756992288</v>
      </c>
      <c r="W40" s="7">
        <v>0.22582502083138919</v>
      </c>
      <c r="X40" s="7">
        <v>0.34084045741855368</v>
      </c>
      <c r="Y40" s="7">
        <v>0.36863925247460011</v>
      </c>
      <c r="AA40" s="9">
        <v>15.78118955083125</v>
      </c>
      <c r="AB40" s="9">
        <v>17.63611250332233</v>
      </c>
      <c r="AC40" s="9">
        <v>8.7134366559229512</v>
      </c>
      <c r="AD40" s="9">
        <v>9.0929544085897316</v>
      </c>
    </row>
    <row r="41" spans="1:30" x14ac:dyDescent="0.25">
      <c r="A41" s="1">
        <v>40908</v>
      </c>
      <c r="B41" s="3">
        <v>430393689760.67798</v>
      </c>
      <c r="C41" s="3">
        <v>417695767090.74847</v>
      </c>
      <c r="D41" s="3">
        <v>2425535748020.127</v>
      </c>
      <c r="E41" s="3">
        <v>2225542302883.7021</v>
      </c>
      <c r="G41" s="3">
        <v>1100832100924.541</v>
      </c>
      <c r="H41" s="3">
        <v>1048153721197.312</v>
      </c>
      <c r="I41" s="3">
        <v>3716748653282.832</v>
      </c>
      <c r="J41" s="3">
        <v>3518677529596.7402</v>
      </c>
      <c r="L41" s="3">
        <v>146195728352.91711</v>
      </c>
      <c r="M41" s="3">
        <v>173681302050.84229</v>
      </c>
      <c r="N41" s="3">
        <v>1266961992136.7429</v>
      </c>
      <c r="O41" s="3">
        <v>1450571372022.124</v>
      </c>
      <c r="Q41" s="7">
        <v>0.13280474672761969</v>
      </c>
      <c r="R41" s="7">
        <v>0.12621210564397281</v>
      </c>
      <c r="S41" s="7">
        <v>0.34087911514212671</v>
      </c>
      <c r="T41" s="7">
        <v>0.40028826769310238</v>
      </c>
      <c r="V41" s="7">
        <v>0.2986400911485364</v>
      </c>
      <c r="W41" s="7">
        <v>0.33291509554797938</v>
      </c>
      <c r="X41" s="7">
        <v>0.37951962382350019</v>
      </c>
      <c r="Y41" s="7">
        <v>0.39750753147301021</v>
      </c>
      <c r="AA41" s="9">
        <v>12.56598420490282</v>
      </c>
      <c r="AB41" s="9">
        <v>11.465220926747341</v>
      </c>
      <c r="AC41" s="9">
        <v>9.256818226240183</v>
      </c>
      <c r="AD41" s="9">
        <v>8.8020455843550103</v>
      </c>
    </row>
    <row r="42" spans="1:30" x14ac:dyDescent="0.25">
      <c r="A42" s="1">
        <v>40999</v>
      </c>
      <c r="B42" s="3">
        <v>466511593379.84882</v>
      </c>
      <c r="C42" s="3">
        <v>444566087378.69482</v>
      </c>
      <c r="D42" s="3">
        <v>2032930500802.3799</v>
      </c>
      <c r="E42" s="3">
        <v>2260068283513.2969</v>
      </c>
      <c r="G42" s="3">
        <v>1246362649350.6321</v>
      </c>
      <c r="H42" s="3">
        <v>1294578784422.0359</v>
      </c>
      <c r="I42" s="3">
        <v>3826595947286.6411</v>
      </c>
      <c r="J42" s="3">
        <v>3947009127066.9971</v>
      </c>
      <c r="L42" s="3">
        <v>207873602725.22089</v>
      </c>
      <c r="M42" s="3">
        <v>185907078896.24121</v>
      </c>
      <c r="N42" s="3">
        <v>1513517082257.969</v>
      </c>
      <c r="O42" s="3">
        <v>1327693138090.4751</v>
      </c>
      <c r="Q42" s="7">
        <v>0.1667842042871914</v>
      </c>
      <c r="R42" s="7">
        <v>0.1677572405437065</v>
      </c>
      <c r="S42" s="7">
        <v>0.39552571086873489</v>
      </c>
      <c r="T42" s="7">
        <v>0.36181609158130412</v>
      </c>
      <c r="V42" s="7">
        <v>0.25351786620235078</v>
      </c>
      <c r="W42" s="7">
        <v>0.26918699131233548</v>
      </c>
      <c r="X42" s="7">
        <v>0.20554589873951559</v>
      </c>
      <c r="Y42" s="7">
        <v>0.18780037368993441</v>
      </c>
      <c r="AA42" s="9">
        <v>14.217597846094071</v>
      </c>
      <c r="AB42" s="9">
        <v>14.063900985119901</v>
      </c>
      <c r="AC42" s="9">
        <v>10.34708576248201</v>
      </c>
      <c r="AD42" s="9">
        <v>11.259623547172399</v>
      </c>
    </row>
    <row r="43" spans="1:30" x14ac:dyDescent="0.25">
      <c r="A43" s="1">
        <v>41090</v>
      </c>
      <c r="B43" s="3">
        <v>432017913188.83618</v>
      </c>
      <c r="C43" s="3">
        <v>443269839395.16388</v>
      </c>
      <c r="D43" s="3">
        <v>2281713952256.916</v>
      </c>
      <c r="E43" s="3">
        <v>2306258424779.9619</v>
      </c>
      <c r="G43" s="3">
        <v>1190302842537.647</v>
      </c>
      <c r="H43" s="3">
        <v>1236653084787.4761</v>
      </c>
      <c r="I43" s="3">
        <v>3866508565751.5151</v>
      </c>
      <c r="J43" s="3">
        <v>3857203785095.022</v>
      </c>
      <c r="L43" s="3">
        <v>146420843563.99371</v>
      </c>
      <c r="M43" s="3">
        <v>155231405332.55511</v>
      </c>
      <c r="N43" s="3">
        <v>1469664673213.863</v>
      </c>
      <c r="O43" s="3">
        <v>1277513043230.0439</v>
      </c>
      <c r="Q43" s="7">
        <v>0.12301142056573949</v>
      </c>
      <c r="R43" s="7">
        <v>0.13259087918444901</v>
      </c>
      <c r="S43" s="7">
        <v>0.38010123299137483</v>
      </c>
      <c r="T43" s="7">
        <v>0.37541184775100228</v>
      </c>
      <c r="V43" s="7">
        <v>0.22019953765668909</v>
      </c>
      <c r="W43" s="7">
        <v>0.19212137105789781</v>
      </c>
      <c r="X43" s="7">
        <v>0.2001713620076381</v>
      </c>
      <c r="Y43" s="7">
        <v>0.18152316746001351</v>
      </c>
      <c r="AA43" s="9">
        <v>15.19791839631019</v>
      </c>
      <c r="AB43" s="9">
        <v>15.856362426039089</v>
      </c>
      <c r="AC43" s="9">
        <v>9.5487844431270563</v>
      </c>
      <c r="AD43" s="9">
        <v>10.15759657000185</v>
      </c>
    </row>
    <row r="44" spans="1:30" x14ac:dyDescent="0.25">
      <c r="A44" s="1">
        <v>41182</v>
      </c>
      <c r="B44" s="3">
        <v>420014113105.97491</v>
      </c>
      <c r="C44" s="3">
        <v>446975716502.02838</v>
      </c>
      <c r="D44" s="3">
        <v>2395580707171.9492</v>
      </c>
      <c r="E44" s="3">
        <v>2346398908005.624</v>
      </c>
      <c r="G44" s="3">
        <v>1226672201581.2251</v>
      </c>
      <c r="H44" s="3">
        <v>1244671022461.0271</v>
      </c>
      <c r="I44" s="3">
        <v>3650901906505.3491</v>
      </c>
      <c r="J44" s="3">
        <v>3745325430170.0278</v>
      </c>
      <c r="L44" s="3">
        <v>149245953022.16479</v>
      </c>
      <c r="M44" s="3">
        <v>151326185251.0076</v>
      </c>
      <c r="N44" s="3">
        <v>1231917465903.6521</v>
      </c>
      <c r="O44" s="3">
        <v>1299317715526.957</v>
      </c>
      <c r="Q44" s="7">
        <v>0.12166734750309111</v>
      </c>
      <c r="R44" s="7">
        <v>0.1136214689308517</v>
      </c>
      <c r="S44" s="7">
        <v>0.33742825675720389</v>
      </c>
      <c r="T44" s="7">
        <v>0.37663953989092491</v>
      </c>
      <c r="V44" s="7">
        <v>0.1988142273681078</v>
      </c>
      <c r="W44" s="7">
        <v>0.1828471336546387</v>
      </c>
      <c r="X44" s="7">
        <v>0.18276318348805859</v>
      </c>
      <c r="Y44" s="7">
        <v>0.1772519010913898</v>
      </c>
      <c r="AA44" s="9">
        <v>16.534800488350491</v>
      </c>
      <c r="AB44" s="9">
        <v>16.10973444523577</v>
      </c>
      <c r="AC44" s="9">
        <v>10.057122057370769</v>
      </c>
      <c r="AD44" s="9">
        <v>10.33527945319593</v>
      </c>
    </row>
    <row r="45" spans="1:30" x14ac:dyDescent="0.25">
      <c r="A45" s="1">
        <v>41274</v>
      </c>
      <c r="B45" s="3">
        <v>459943289129.12531</v>
      </c>
      <c r="C45" s="3">
        <v>446855933081.86981</v>
      </c>
      <c r="D45" s="3">
        <v>2614701636163.8159</v>
      </c>
      <c r="E45" s="3">
        <v>2390680884239.2749</v>
      </c>
      <c r="G45" s="3">
        <v>1264374130060.6331</v>
      </c>
      <c r="H45" s="3">
        <v>1221872906958.7971</v>
      </c>
      <c r="I45" s="3">
        <v>3904604262650.7642</v>
      </c>
      <c r="J45" s="3">
        <v>3805972790287.9551</v>
      </c>
      <c r="L45" s="3">
        <v>157783052851.34311</v>
      </c>
      <c r="M45" s="3">
        <v>165962468333.97961</v>
      </c>
      <c r="N45" s="3">
        <v>1143662946045.658</v>
      </c>
      <c r="O45" s="3">
        <v>1700317897777.6331</v>
      </c>
      <c r="Q45" s="7">
        <v>0.1247914277111765</v>
      </c>
      <c r="R45" s="7">
        <v>0.12985488944580989</v>
      </c>
      <c r="S45" s="7">
        <v>0.29290111599408192</v>
      </c>
      <c r="T45" s="7">
        <v>0.33190900076504087</v>
      </c>
      <c r="V45" s="7">
        <v>0.1645104628113804</v>
      </c>
      <c r="W45" s="7">
        <v>0.1766077442097668</v>
      </c>
      <c r="X45" s="7">
        <v>0.13630305907235371</v>
      </c>
      <c r="Y45" s="7">
        <v>0.17573575863118121</v>
      </c>
      <c r="AA45" s="9">
        <v>17.183948289086871</v>
      </c>
      <c r="AB45" s="9">
        <v>16.373690897064741</v>
      </c>
      <c r="AC45" s="9">
        <v>11.35545056710056</v>
      </c>
      <c r="AD45" s="9">
        <v>10.184144800122629</v>
      </c>
    </row>
    <row r="46" spans="1:30" x14ac:dyDescent="0.25">
      <c r="A46" s="1">
        <v>41364</v>
      </c>
      <c r="B46" s="3">
        <v>465263455175.28912</v>
      </c>
      <c r="C46" s="3">
        <v>448499886674.69891</v>
      </c>
      <c r="D46" s="3">
        <v>2191837493459.2891</v>
      </c>
      <c r="E46" s="3">
        <v>2440650235349.521</v>
      </c>
      <c r="G46" s="3">
        <v>1169080897063.644</v>
      </c>
      <c r="H46" s="3">
        <v>1201131880507.4331</v>
      </c>
      <c r="I46" s="3">
        <v>3883838721800.4102</v>
      </c>
      <c r="J46" s="3">
        <v>4033864912443.835</v>
      </c>
      <c r="L46" s="3">
        <v>158956972648.24319</v>
      </c>
      <c r="M46" s="3">
        <v>145173214806.50781</v>
      </c>
      <c r="N46" s="3">
        <v>1864891575931.4241</v>
      </c>
      <c r="O46" s="3">
        <v>1606512467221.884</v>
      </c>
      <c r="Q46" s="7">
        <v>0.13596747072635609</v>
      </c>
      <c r="R46" s="7">
        <v>0.12856704611836531</v>
      </c>
      <c r="S46" s="7">
        <v>0.48016710000432927</v>
      </c>
      <c r="T46" s="7">
        <v>0.41344243566936723</v>
      </c>
      <c r="V46" s="7">
        <v>0.14901510167184581</v>
      </c>
      <c r="W46" s="7">
        <v>0.1734277614951793</v>
      </c>
      <c r="X46" s="7">
        <v>0.16825942850319631</v>
      </c>
      <c r="Y46" s="7">
        <v>0.16097243748798359</v>
      </c>
      <c r="AA46" s="9">
        <v>16.168843974909858</v>
      </c>
      <c r="AB46" s="9">
        <v>16.646578903672889</v>
      </c>
      <c r="AC46" s="9">
        <v>10.518901272831069</v>
      </c>
      <c r="AD46" s="9">
        <v>10.1353842530434</v>
      </c>
    </row>
    <row r="47" spans="1:30" x14ac:dyDescent="0.25">
      <c r="A47" s="1">
        <v>41455</v>
      </c>
      <c r="B47" s="3">
        <v>435720614725.91443</v>
      </c>
      <c r="C47" s="3">
        <v>436327667670.10791</v>
      </c>
      <c r="D47" s="3">
        <v>2439150158401.3452</v>
      </c>
      <c r="E47" s="3">
        <v>2474730838867.5889</v>
      </c>
      <c r="G47" s="3">
        <v>1143142527544.4509</v>
      </c>
      <c r="H47" s="3">
        <v>1177008683997.6101</v>
      </c>
      <c r="I47" s="3">
        <v>3552589213543.0142</v>
      </c>
      <c r="J47" s="3">
        <v>3805961874463.9839</v>
      </c>
      <c r="L47" s="3">
        <v>139372171770.52441</v>
      </c>
      <c r="M47" s="3">
        <v>145247207250.00601</v>
      </c>
      <c r="N47" s="3">
        <v>1657875982396.844</v>
      </c>
      <c r="O47" s="3">
        <v>1411657615065.5491</v>
      </c>
      <c r="Q47" s="7">
        <v>0.12192020540947369</v>
      </c>
      <c r="R47" s="7">
        <v>0.1277303389971356</v>
      </c>
      <c r="S47" s="7">
        <v>0.46666695267687208</v>
      </c>
      <c r="T47" s="7">
        <v>0.44593600144732792</v>
      </c>
      <c r="V47" s="7">
        <v>0.23750873310000059</v>
      </c>
      <c r="W47" s="7">
        <v>0.22661855428131519</v>
      </c>
      <c r="X47" s="7">
        <v>0.2029833351114376</v>
      </c>
      <c r="Y47" s="7">
        <v>0.1779841852845836</v>
      </c>
      <c r="AA47" s="9">
        <v>15.925805006784399</v>
      </c>
      <c r="AB47" s="9">
        <v>16.957827987237199</v>
      </c>
      <c r="AC47" s="9">
        <v>9.6382967194977223</v>
      </c>
      <c r="AD47" s="9">
        <v>10.21176016462617</v>
      </c>
    </row>
    <row r="48" spans="1:30" x14ac:dyDescent="0.25">
      <c r="A48" s="1">
        <v>41547</v>
      </c>
      <c r="B48" s="3">
        <v>428170883508.73633</v>
      </c>
      <c r="C48" s="3">
        <v>452344647129.89508</v>
      </c>
      <c r="D48" s="3">
        <v>2574154262564.814</v>
      </c>
      <c r="E48" s="3">
        <v>2520418673864.583</v>
      </c>
      <c r="G48" s="3">
        <v>1099622174581.0459</v>
      </c>
      <c r="H48" s="3">
        <v>1113399079371.614</v>
      </c>
      <c r="I48" s="3">
        <v>4007706669919.3472</v>
      </c>
      <c r="J48" s="3">
        <v>4021714596521.2222</v>
      </c>
      <c r="L48" s="3">
        <v>147338494919.8446</v>
      </c>
      <c r="M48" s="3">
        <v>141202328736.89719</v>
      </c>
      <c r="N48" s="3">
        <v>2220526155444.4771</v>
      </c>
      <c r="O48" s="3">
        <v>2262374757951.5981</v>
      </c>
      <c r="Q48" s="7">
        <v>0.13399010889897731</v>
      </c>
      <c r="R48" s="7">
        <v>0.12695977311773779</v>
      </c>
      <c r="S48" s="7">
        <v>0.5540640416902477</v>
      </c>
      <c r="T48" s="7">
        <v>0.61142302316165198</v>
      </c>
      <c r="V48" s="7">
        <v>0.35445015548134062</v>
      </c>
      <c r="W48" s="7">
        <v>0.34769637087626998</v>
      </c>
      <c r="X48" s="7">
        <v>0.18209394372556789</v>
      </c>
      <c r="Y48" s="7">
        <v>0.19405047074821391</v>
      </c>
      <c r="AA48" s="9">
        <v>15.753675705383079</v>
      </c>
      <c r="AB48" s="9">
        <v>15.21975811260695</v>
      </c>
      <c r="AC48" s="9">
        <v>9.8941175988344749</v>
      </c>
      <c r="AD48" s="9">
        <v>10.246443585600559</v>
      </c>
    </row>
    <row r="49" spans="1:30" x14ac:dyDescent="0.25">
      <c r="A49" s="1">
        <v>41639</v>
      </c>
      <c r="B49" s="3">
        <v>469130647042.69781</v>
      </c>
      <c r="C49" s="3">
        <v>456559395514.23071</v>
      </c>
      <c r="D49" s="3">
        <v>2811923321154.8882</v>
      </c>
      <c r="E49" s="3">
        <v>2565254567262.7861</v>
      </c>
      <c r="G49" s="3">
        <v>1164064061089.3469</v>
      </c>
      <c r="H49" s="3">
        <v>1131862530139.374</v>
      </c>
      <c r="I49" s="3">
        <v>3938416059602.2471</v>
      </c>
      <c r="J49" s="3">
        <v>3420332641243.6162</v>
      </c>
      <c r="L49" s="3">
        <v>136580131050.98</v>
      </c>
      <c r="M49" s="3">
        <v>142688984945.3374</v>
      </c>
      <c r="N49" s="3">
        <v>2031065164450.939</v>
      </c>
      <c r="O49" s="3">
        <v>3730080192453.292</v>
      </c>
      <c r="Q49" s="7">
        <v>0.11733042503104719</v>
      </c>
      <c r="R49" s="7">
        <v>0.12593519865481531</v>
      </c>
      <c r="S49" s="7">
        <v>0.51570609445871052</v>
      </c>
      <c r="T49" s="7">
        <v>0.54476521912297415</v>
      </c>
      <c r="V49" s="7">
        <v>0.18125933338571371</v>
      </c>
      <c r="W49" s="7">
        <v>0.18481054330761271</v>
      </c>
      <c r="X49" s="7">
        <v>0.15822697934436569</v>
      </c>
      <c r="Y49" s="7">
        <v>0.1797265105100031</v>
      </c>
      <c r="AA49" s="9">
        <v>17.48704796861746</v>
      </c>
      <c r="AB49" s="9">
        <v>16.946938889269521</v>
      </c>
      <c r="AC49" s="9">
        <v>10.42378196348864</v>
      </c>
      <c r="AD49" s="9">
        <v>10.001835407110599</v>
      </c>
    </row>
    <row r="50" spans="1:30" x14ac:dyDescent="0.25">
      <c r="A50" s="1">
        <v>41729</v>
      </c>
      <c r="B50" s="3">
        <v>462952668708.98511</v>
      </c>
      <c r="C50" s="3">
        <v>456865106753.32123</v>
      </c>
      <c r="D50" s="3">
        <v>2333341300513.4419</v>
      </c>
      <c r="E50" s="3">
        <v>2600775939811.4048</v>
      </c>
      <c r="G50" s="3">
        <v>1246123031249.6841</v>
      </c>
      <c r="H50" s="3">
        <v>1215719578179.5249</v>
      </c>
      <c r="I50" s="3">
        <v>3846518964835.6812</v>
      </c>
      <c r="J50" s="3">
        <v>4279326411271.8071</v>
      </c>
      <c r="L50" s="3">
        <v>147801312000.74399</v>
      </c>
      <c r="M50" s="3">
        <v>142016640487.77969</v>
      </c>
      <c r="N50" s="3">
        <v>1985051750268.6819</v>
      </c>
      <c r="O50" s="3">
        <v>3840533554999.5288</v>
      </c>
      <c r="Q50" s="7">
        <v>0.11860892407431101</v>
      </c>
      <c r="R50" s="7">
        <v>0.1107987774931434</v>
      </c>
      <c r="S50" s="7">
        <v>0.51606446462781996</v>
      </c>
      <c r="T50" s="7">
        <v>0.48188143663322358</v>
      </c>
      <c r="V50" s="7">
        <v>0.14950410994665519</v>
      </c>
      <c r="W50" s="7">
        <v>0.15520484573924839</v>
      </c>
      <c r="X50" s="7">
        <v>0.18664122374099659</v>
      </c>
      <c r="Y50" s="7">
        <v>0.19351551083974031</v>
      </c>
      <c r="AA50" s="9">
        <v>18.94729498557372</v>
      </c>
      <c r="AB50" s="9">
        <v>19.3084653544738</v>
      </c>
      <c r="AC50" s="9">
        <v>9.2290834381477058</v>
      </c>
      <c r="AD50" s="9">
        <v>8.7149088483021302</v>
      </c>
    </row>
    <row r="51" spans="1:30" x14ac:dyDescent="0.25">
      <c r="A51" s="1">
        <v>41820</v>
      </c>
      <c r="B51" s="3">
        <v>468958190591.4256</v>
      </c>
      <c r="C51" s="3">
        <v>458980710090.53778</v>
      </c>
      <c r="D51" s="3">
        <v>2606255464332.7178</v>
      </c>
      <c r="E51" s="3">
        <v>2642508796081.3369</v>
      </c>
      <c r="G51" s="3">
        <v>1506465701537.4121</v>
      </c>
      <c r="H51" s="3">
        <v>1499651002913.5879</v>
      </c>
      <c r="I51" s="3">
        <v>3990058392986.3428</v>
      </c>
      <c r="J51" s="3">
        <v>4492513759119.3389</v>
      </c>
      <c r="L51" s="3">
        <v>224966110109.52859</v>
      </c>
      <c r="M51" s="3">
        <v>228499989949.31271</v>
      </c>
      <c r="N51" s="3">
        <v>1552606800975.417</v>
      </c>
      <c r="O51" s="3">
        <v>-6227188425202.9209</v>
      </c>
      <c r="Q51" s="7">
        <v>0.1493337086134395</v>
      </c>
      <c r="R51" s="7">
        <v>0.15502845908977961</v>
      </c>
      <c r="S51" s="7">
        <v>0.38911881683349869</v>
      </c>
      <c r="T51" s="7">
        <v>0.37458942448399107</v>
      </c>
      <c r="V51" s="7">
        <v>0.15141928590345771</v>
      </c>
      <c r="W51" s="7">
        <v>0.15834855557827471</v>
      </c>
      <c r="X51" s="7">
        <v>0.1291410538875466</v>
      </c>
      <c r="Y51" s="7">
        <v>7.5340360774964199E-2</v>
      </c>
      <c r="AA51" s="9">
        <v>18.688597731420849</v>
      </c>
      <c r="AB51" s="9">
        <v>19.23624146178177</v>
      </c>
      <c r="AC51" s="9">
        <v>9.7299116332328079</v>
      </c>
      <c r="AD51" s="9">
        <v>9.639558601542868</v>
      </c>
    </row>
    <row r="52" spans="1:30" x14ac:dyDescent="0.25">
      <c r="A52" s="1">
        <v>41912</v>
      </c>
      <c r="B52" s="3">
        <v>438707617062.29852</v>
      </c>
      <c r="C52" s="3">
        <v>461286287122.31299</v>
      </c>
      <c r="D52" s="3">
        <v>2748167959017.9458</v>
      </c>
      <c r="E52" s="3">
        <v>2693094178379.2222</v>
      </c>
      <c r="G52" s="3">
        <v>1513218193892.0549</v>
      </c>
      <c r="H52" s="3">
        <v>1601913348578.3921</v>
      </c>
      <c r="I52" s="3">
        <v>4784765951787.2725</v>
      </c>
      <c r="J52" s="3">
        <v>4713068146607.6885</v>
      </c>
      <c r="L52" s="3">
        <v>205614408735.65869</v>
      </c>
      <c r="M52" s="3">
        <v>192756825079.8327</v>
      </c>
      <c r="N52" s="3">
        <v>3112693167488.9268</v>
      </c>
      <c r="O52" s="3">
        <v>7303013265123.6934</v>
      </c>
      <c r="Q52" s="7">
        <v>0.135878890146576</v>
      </c>
      <c r="R52" s="7">
        <v>0.1275141294687151</v>
      </c>
      <c r="S52" s="7">
        <v>0.65054240873082414</v>
      </c>
      <c r="T52" s="7">
        <v>0.72872728241733775</v>
      </c>
      <c r="V52" s="7">
        <v>0.15173087514232411</v>
      </c>
      <c r="W52" s="7">
        <v>0.15498570081456031</v>
      </c>
      <c r="X52" s="7">
        <v>0.1404271641855894</v>
      </c>
      <c r="Y52" s="7">
        <v>0.18331323939614599</v>
      </c>
      <c r="AA52" s="9">
        <v>20.187319394044469</v>
      </c>
      <c r="AB52" s="9">
        <v>19.540134350196912</v>
      </c>
      <c r="AC52" s="9">
        <v>9.4686839721018554</v>
      </c>
      <c r="AD52" s="9">
        <v>10.291315904976161</v>
      </c>
    </row>
    <row r="53" spans="1:30" x14ac:dyDescent="0.25">
      <c r="A53" s="1">
        <v>42004</v>
      </c>
      <c r="B53" s="3">
        <v>473612424523.80292</v>
      </c>
      <c r="C53" s="3">
        <v>465118184165.17548</v>
      </c>
      <c r="D53" s="3">
        <v>2991955532760.0708</v>
      </c>
      <c r="E53" s="3">
        <v>2730437525750.5488</v>
      </c>
      <c r="G53" s="3">
        <v>1546372316537.1609</v>
      </c>
      <c r="H53" s="3">
        <v>1527731358662.22</v>
      </c>
      <c r="I53" s="3">
        <v>6051946728251.1309</v>
      </c>
      <c r="J53" s="3">
        <v>5159318978195.1768</v>
      </c>
      <c r="L53" s="3">
        <v>183069842241.58371</v>
      </c>
      <c r="M53" s="3">
        <v>197346147044.5611</v>
      </c>
      <c r="N53" s="3">
        <v>5452485959185.3506</v>
      </c>
      <c r="O53" s="3">
        <v>9014675109567.3594</v>
      </c>
      <c r="Q53" s="7">
        <v>0.1183866526086924</v>
      </c>
      <c r="R53" s="7">
        <v>0.12920375648184829</v>
      </c>
      <c r="S53" s="7">
        <v>0.90094744782411362</v>
      </c>
      <c r="T53" s="7">
        <v>0.79410077520695244</v>
      </c>
      <c r="V53" s="7">
        <v>0.1492109599459315</v>
      </c>
      <c r="W53" s="7">
        <v>0.15026192813447781</v>
      </c>
      <c r="X53" s="7">
        <v>0.18365603878177769</v>
      </c>
      <c r="Y53" s="7">
        <v>0.18379715492175999</v>
      </c>
      <c r="AA53" s="9">
        <v>20.139002397159881</v>
      </c>
      <c r="AB53" s="9">
        <v>19.86414901471619</v>
      </c>
      <c r="AC53" s="9">
        <v>10.03489417666127</v>
      </c>
      <c r="AD53" s="9">
        <v>10.276509725791209</v>
      </c>
    </row>
    <row r="54" spans="1:30" x14ac:dyDescent="0.25">
      <c r="A54" s="1">
        <v>42094</v>
      </c>
      <c r="B54" s="3">
        <v>463539376371.71399</v>
      </c>
      <c r="C54" s="3">
        <v>464171889447.82458</v>
      </c>
      <c r="D54" s="3">
        <v>2477740850010.7441</v>
      </c>
      <c r="E54" s="3">
        <v>2763722230368.3159</v>
      </c>
      <c r="G54" s="3">
        <v>1630477405499.137</v>
      </c>
      <c r="H54" s="3">
        <v>1537732161754.8669</v>
      </c>
      <c r="I54" s="3">
        <v>7666320537266.4912</v>
      </c>
      <c r="J54" s="3">
        <v>7927952025323.1416</v>
      </c>
      <c r="L54" s="3">
        <v>224979174981.5126</v>
      </c>
      <c r="M54" s="3">
        <v>220666447729.47061</v>
      </c>
      <c r="N54" s="3">
        <v>6637307218691.8789</v>
      </c>
      <c r="O54" s="3">
        <v>8654121494982.9121</v>
      </c>
      <c r="Q54" s="7">
        <v>0.13798362014875021</v>
      </c>
      <c r="R54" s="7">
        <v>0.1292904974818716</v>
      </c>
      <c r="S54" s="7">
        <v>0.86577481158366509</v>
      </c>
      <c r="T54" s="7">
        <v>0.86234362619681959</v>
      </c>
      <c r="V54" s="7">
        <v>0.17234316701712299</v>
      </c>
      <c r="W54" s="7">
        <v>0.1521196536487871</v>
      </c>
      <c r="X54" s="7">
        <v>0.15116204380012621</v>
      </c>
      <c r="Y54" s="7">
        <v>0.17956926042015009</v>
      </c>
      <c r="AA54" s="9">
        <v>19.827626195014801</v>
      </c>
      <c r="AB54" s="9">
        <v>20.139233703052291</v>
      </c>
      <c r="AC54" s="9">
        <v>11.095324287446211</v>
      </c>
      <c r="AD54" s="9">
        <v>10.4085152496639</v>
      </c>
    </row>
    <row r="55" spans="1:30" x14ac:dyDescent="0.25">
      <c r="A55" s="1">
        <v>42185</v>
      </c>
      <c r="B55" s="3">
        <v>484736709074.93231</v>
      </c>
      <c r="C55" s="3">
        <v>474901991236.61011</v>
      </c>
      <c r="D55" s="3">
        <v>2771702428966.1831</v>
      </c>
      <c r="E55" s="3">
        <v>2800596368232.6221</v>
      </c>
      <c r="G55" s="3">
        <v>1600112016891.739</v>
      </c>
      <c r="H55" s="3">
        <v>1544846284849.3931</v>
      </c>
      <c r="I55" s="3">
        <v>9426333694522.0391</v>
      </c>
      <c r="J55" s="3">
        <v>9772126181569.2773</v>
      </c>
      <c r="L55" s="3">
        <v>198130307752.97031</v>
      </c>
      <c r="M55" s="3">
        <v>198232165122.6387</v>
      </c>
      <c r="N55" s="3">
        <v>15833044400823.471</v>
      </c>
      <c r="O55" s="3">
        <v>8196044779458.3242</v>
      </c>
      <c r="Q55" s="7">
        <v>0.1238227734442266</v>
      </c>
      <c r="R55" s="7">
        <v>0.1289761897985405</v>
      </c>
      <c r="S55" s="7">
        <v>1.679660927983547</v>
      </c>
      <c r="T55" s="7">
        <v>1.68621534667699</v>
      </c>
      <c r="V55" s="7">
        <v>0.1896687387375052</v>
      </c>
      <c r="W55" s="7">
        <v>0.18646203736628211</v>
      </c>
      <c r="X55" s="7">
        <v>0.26347673988840542</v>
      </c>
      <c r="Y55" s="7">
        <v>0.1796389042781491</v>
      </c>
      <c r="AA55" s="9">
        <v>20.463128917927289</v>
      </c>
      <c r="AB55" s="9">
        <v>20.811036963583369</v>
      </c>
      <c r="AC55" s="9">
        <v>11.63560196451121</v>
      </c>
      <c r="AD55" s="9">
        <v>10.463262217432201</v>
      </c>
    </row>
    <row r="56" spans="1:30" x14ac:dyDescent="0.25">
      <c r="A56" s="1">
        <v>42277</v>
      </c>
      <c r="B56" s="3">
        <v>476674666418.89502</v>
      </c>
      <c r="C56" s="3">
        <v>491770726685.68127</v>
      </c>
      <c r="D56" s="3">
        <v>2884161898732.313</v>
      </c>
      <c r="E56" s="3">
        <v>2837850227710.8252</v>
      </c>
      <c r="G56" s="3">
        <v>1463290475759.5281</v>
      </c>
      <c r="H56" s="3">
        <v>1549906936712.042</v>
      </c>
      <c r="I56" s="3">
        <v>6717720866933.3906</v>
      </c>
      <c r="J56" s="3">
        <v>6683760276176.3828</v>
      </c>
      <c r="L56" s="3">
        <v>204023682921.5618</v>
      </c>
      <c r="M56" s="3">
        <v>190381047107.84</v>
      </c>
      <c r="N56" s="3">
        <v>9659468254954.0078</v>
      </c>
      <c r="O56" s="3">
        <v>10288668330842.869</v>
      </c>
      <c r="Q56" s="7">
        <v>0.139428012620435</v>
      </c>
      <c r="R56" s="7">
        <v>0.13035225659619759</v>
      </c>
      <c r="S56" s="7">
        <v>1.4379085475999409</v>
      </c>
      <c r="T56" s="7">
        <v>1.472469620326039</v>
      </c>
      <c r="V56" s="7">
        <v>0.228418099333494</v>
      </c>
      <c r="W56" s="7">
        <v>0.23248822005333111</v>
      </c>
      <c r="X56" s="7">
        <v>0.33812948056997622</v>
      </c>
      <c r="Y56" s="7">
        <v>0.35945841451532701</v>
      </c>
      <c r="AA56" s="9">
        <v>21.064071566679271</v>
      </c>
      <c r="AB56" s="9">
        <v>20.643906549328289</v>
      </c>
      <c r="AC56" s="9">
        <v>8.7992442855086992</v>
      </c>
      <c r="AD56" s="9">
        <v>10.49202869366526</v>
      </c>
    </row>
    <row r="57" spans="1:30" x14ac:dyDescent="0.25">
      <c r="A57" s="1">
        <v>42369</v>
      </c>
      <c r="B57" s="3">
        <v>484881506940.76141</v>
      </c>
      <c r="C57" s="3">
        <v>481220175700.01147</v>
      </c>
      <c r="D57" s="3">
        <v>3143816804643.1021</v>
      </c>
      <c r="E57" s="3">
        <v>2875101134184.8521</v>
      </c>
      <c r="G57" s="3">
        <v>1487575727627.3391</v>
      </c>
      <c r="H57" s="3">
        <v>1553255353570.27</v>
      </c>
      <c r="I57" s="3">
        <v>8507541551810.7158</v>
      </c>
      <c r="J57" s="3">
        <v>8062605881418.4932</v>
      </c>
      <c r="L57" s="3">
        <v>172083223613.76849</v>
      </c>
      <c r="M57" s="3">
        <v>192070231852.86938</v>
      </c>
      <c r="N57" s="3">
        <v>8921224618350.668</v>
      </c>
      <c r="O57" s="3">
        <v>10912824406067.02</v>
      </c>
      <c r="Q57" s="7">
        <v>0.1156803115416777</v>
      </c>
      <c r="R57" s="7">
        <v>0.12580997100043301</v>
      </c>
      <c r="S57" s="7">
        <v>1.048625453548552</v>
      </c>
      <c r="T57" s="7">
        <v>0.99508948114333429</v>
      </c>
      <c r="V57" s="7">
        <v>0.14023845685478581</v>
      </c>
      <c r="W57" s="7">
        <v>0.14769383176804191</v>
      </c>
      <c r="X57" s="7">
        <v>0.1915884010947338</v>
      </c>
      <c r="Y57" s="7">
        <v>0.18693943099863169</v>
      </c>
      <c r="AA57" s="9">
        <v>21.284182330264599</v>
      </c>
      <c r="AB57" s="9">
        <v>21.062932045751339</v>
      </c>
      <c r="AC57" s="9">
        <v>9.5928397021909166</v>
      </c>
      <c r="AD57" s="9">
        <v>10.15787113161818</v>
      </c>
    </row>
    <row r="58" spans="1:30" x14ac:dyDescent="0.25">
      <c r="A58" s="1">
        <v>42460</v>
      </c>
      <c r="B58" s="3">
        <v>487347240318.4093</v>
      </c>
      <c r="C58" s="3">
        <v>488872963008.0755</v>
      </c>
      <c r="D58" s="3">
        <v>2608749627551.5742</v>
      </c>
      <c r="E58" s="3">
        <v>2901985522856.8379</v>
      </c>
      <c r="G58" s="3">
        <v>1440794865403.5691</v>
      </c>
      <c r="H58" s="3">
        <v>1355845843569.8049</v>
      </c>
      <c r="I58" s="3">
        <v>7148625810770.3262</v>
      </c>
      <c r="J58" s="3">
        <v>7234585377523.8574</v>
      </c>
      <c r="L58" s="3">
        <v>186347779945.5195</v>
      </c>
      <c r="M58" s="3">
        <v>173550329049.80469</v>
      </c>
      <c r="N58" s="3">
        <v>5054903930241.3467</v>
      </c>
      <c r="O58" s="3">
        <v>6534571241553.4346</v>
      </c>
      <c r="Q58" s="7">
        <v>0.12933678792179981</v>
      </c>
      <c r="R58" s="7">
        <v>0.12330863404082069</v>
      </c>
      <c r="S58" s="7">
        <v>0.7071154742251976</v>
      </c>
      <c r="T58" s="7">
        <v>0.74526832557284883</v>
      </c>
      <c r="V58" s="7">
        <v>0.22145849023031031</v>
      </c>
      <c r="W58" s="7">
        <v>0.21902939720830969</v>
      </c>
      <c r="X58" s="7">
        <v>0.28442913886710081</v>
      </c>
      <c r="Y58" s="7">
        <v>0.31500845222127682</v>
      </c>
      <c r="AA58" s="9">
        <v>20.687042408119261</v>
      </c>
      <c r="AB58" s="9">
        <v>21.353749298883919</v>
      </c>
      <c r="AC58" s="9">
        <v>10.74338284287921</v>
      </c>
      <c r="AD58" s="9">
        <v>10.515988984288921</v>
      </c>
    </row>
    <row r="59" spans="1:30" x14ac:dyDescent="0.25">
      <c r="A59" s="1">
        <v>42551</v>
      </c>
      <c r="B59" s="3">
        <v>505090105782.62433</v>
      </c>
      <c r="C59" s="3">
        <v>498621539755.93689</v>
      </c>
      <c r="D59" s="3">
        <v>2921566116202.3042</v>
      </c>
      <c r="E59" s="3">
        <v>2959249336447.2759</v>
      </c>
      <c r="G59" s="3">
        <v>1527888088510.219</v>
      </c>
      <c r="H59" s="3">
        <v>1481726209433.5659</v>
      </c>
      <c r="I59" s="3">
        <v>7310469236058.9951</v>
      </c>
      <c r="J59" s="3">
        <v>7488764908437.8232</v>
      </c>
      <c r="L59" s="3">
        <v>184187948725.7995</v>
      </c>
      <c r="M59" s="3">
        <v>191762861449.11691</v>
      </c>
      <c r="N59" s="3">
        <v>5061991917311.2822</v>
      </c>
      <c r="O59" s="3">
        <v>1459465364230.385</v>
      </c>
      <c r="Q59" s="7">
        <v>0.1205506804529078</v>
      </c>
      <c r="R59" s="7">
        <v>0.1268357306601551</v>
      </c>
      <c r="S59" s="7">
        <v>0.69243050669619588</v>
      </c>
      <c r="T59" s="7">
        <v>0.69844643681927743</v>
      </c>
      <c r="V59" s="7">
        <v>0.153934769467194</v>
      </c>
      <c r="W59" s="7">
        <v>0.13968110427964181</v>
      </c>
      <c r="X59" s="7">
        <v>0.17004915780072849</v>
      </c>
      <c r="Y59" s="7">
        <v>0.15978856612413911</v>
      </c>
      <c r="AA59" s="9">
        <v>21.18408114458936</v>
      </c>
      <c r="AB59" s="9">
        <v>21.513487648982789</v>
      </c>
      <c r="AC59" s="9">
        <v>10.649465040602159</v>
      </c>
      <c r="AD59" s="9">
        <v>9.7405196782344436</v>
      </c>
    </row>
    <row r="60" spans="1:30" x14ac:dyDescent="0.25">
      <c r="A60" s="1">
        <v>42643</v>
      </c>
      <c r="B60" s="3">
        <v>501672734917.802</v>
      </c>
      <c r="C60" s="3">
        <v>509855782027.81549</v>
      </c>
      <c r="D60" s="3">
        <v>3069841249989.4312</v>
      </c>
      <c r="E60" s="3">
        <v>3028915114619.8882</v>
      </c>
      <c r="G60" s="3">
        <v>1590923711682.729</v>
      </c>
      <c r="H60" s="3">
        <v>1626928193232.449</v>
      </c>
      <c r="I60" s="3">
        <v>7641733049224.9951</v>
      </c>
      <c r="J60" s="3">
        <v>7718552035652.252</v>
      </c>
      <c r="L60" s="3">
        <v>225813048237.45529</v>
      </c>
      <c r="M60" s="3">
        <v>218071273526.05139</v>
      </c>
      <c r="N60" s="3">
        <v>5084174305460.5313</v>
      </c>
      <c r="O60" s="3">
        <v>5664386068397.6465</v>
      </c>
      <c r="Q60" s="7">
        <v>0.1419383258790024</v>
      </c>
      <c r="R60" s="7">
        <v>0.1353849345633803</v>
      </c>
      <c r="S60" s="7">
        <v>0.66531692126776854</v>
      </c>
      <c r="T60" s="7">
        <v>0.65204311874982712</v>
      </c>
      <c r="V60" s="7">
        <v>0.1303726673426967</v>
      </c>
      <c r="W60" s="7">
        <v>0.1341760659660825</v>
      </c>
      <c r="X60" s="7">
        <v>0.15041068029395421</v>
      </c>
      <c r="Y60" s="7">
        <v>0.15167382049627059</v>
      </c>
      <c r="AA60" s="9">
        <v>22.415493495745029</v>
      </c>
      <c r="AB60" s="9">
        <v>22.083634909681439</v>
      </c>
      <c r="AC60" s="9">
        <v>14.46414984758877</v>
      </c>
      <c r="AD60" s="9">
        <v>14.836625671826029</v>
      </c>
    </row>
    <row r="61" spans="1:30" x14ac:dyDescent="0.25">
      <c r="A61" s="1">
        <v>42735</v>
      </c>
      <c r="B61" s="3">
        <v>521145387482.16107</v>
      </c>
      <c r="C61" s="3">
        <v>519072403950.66058</v>
      </c>
      <c r="D61" s="3">
        <v>3379568089736.9058</v>
      </c>
      <c r="E61" s="3">
        <v>3098183327206.188</v>
      </c>
      <c r="G61" s="3">
        <v>1537695895615.197</v>
      </c>
      <c r="H61" s="3">
        <v>1672446569776.532</v>
      </c>
      <c r="I61" s="3">
        <v>7957405297043.7607</v>
      </c>
      <c r="J61" s="3">
        <v>7932194226771.6748</v>
      </c>
      <c r="L61" s="3">
        <v>203278737796.19489</v>
      </c>
      <c r="M61" s="3">
        <v>216306349125.37589</v>
      </c>
      <c r="N61" s="3">
        <v>4911433812178.9824</v>
      </c>
      <c r="O61" s="3">
        <v>5182949094142.5674</v>
      </c>
      <c r="Q61" s="7">
        <v>0.13219696974925441</v>
      </c>
      <c r="R61" s="7">
        <v>0.13900832462537829</v>
      </c>
      <c r="S61" s="7">
        <v>0.61721549033120371</v>
      </c>
      <c r="T61" s="7">
        <v>0.61283851817768065</v>
      </c>
      <c r="V61" s="7">
        <v>0.1766867827623487</v>
      </c>
      <c r="W61" s="7">
        <v>0.18279676516179141</v>
      </c>
      <c r="X61" s="7">
        <v>0.1381576026304269</v>
      </c>
      <c r="Y61" s="7">
        <v>0.1414759779652274</v>
      </c>
      <c r="AA61" s="9">
        <v>20.921581163829831</v>
      </c>
      <c r="AB61" s="9">
        <v>20.253190108875518</v>
      </c>
      <c r="AC61" s="9">
        <v>13.38739926583245</v>
      </c>
      <c r="AD61" s="9">
        <v>13.78969708084152</v>
      </c>
    </row>
    <row r="62" spans="1:30" x14ac:dyDescent="0.25">
      <c r="A62" s="1">
        <v>42825</v>
      </c>
      <c r="B62" s="3">
        <v>534833424242.672</v>
      </c>
      <c r="C62" s="3">
        <v>533875935017.47968</v>
      </c>
      <c r="D62" s="3">
        <v>2874963734754.7432</v>
      </c>
      <c r="E62" s="3">
        <v>3179554911786.4028</v>
      </c>
      <c r="G62" s="3">
        <v>1805519109154.9419</v>
      </c>
      <c r="H62" s="3">
        <v>1728796636724.9919</v>
      </c>
      <c r="I62" s="3">
        <v>8372966542145.2529</v>
      </c>
      <c r="J62" s="3">
        <v>8105258520081.6289</v>
      </c>
      <c r="L62" s="3">
        <v>274471244933.9617</v>
      </c>
      <c r="M62" s="3">
        <v>254812444689.66611</v>
      </c>
      <c r="N62" s="3">
        <v>4117385934593.7861</v>
      </c>
      <c r="O62" s="3">
        <v>4601124146657.1191</v>
      </c>
      <c r="Q62" s="7">
        <v>0.15201791193582309</v>
      </c>
      <c r="R62" s="7">
        <v>0.1441689423025222</v>
      </c>
      <c r="S62" s="7">
        <v>0.49174756806550712</v>
      </c>
      <c r="T62" s="7">
        <v>0.50833565198990016</v>
      </c>
      <c r="V62" s="7">
        <v>0.109261392112845</v>
      </c>
      <c r="W62" s="7">
        <v>0.1235326344951163</v>
      </c>
      <c r="X62" s="7">
        <v>0.1157005191519479</v>
      </c>
      <c r="Y62" s="7">
        <v>0.15092244310247291</v>
      </c>
      <c r="AA62" s="9">
        <v>23.678557953656099</v>
      </c>
      <c r="AB62" s="9">
        <v>24.006615823555951</v>
      </c>
      <c r="AC62" s="9">
        <v>15.10575462050066</v>
      </c>
      <c r="AD62" s="9">
        <v>14.732947166316389</v>
      </c>
    </row>
    <row r="63" spans="1:30" x14ac:dyDescent="0.25">
      <c r="A63" s="1">
        <v>42916</v>
      </c>
      <c r="B63" s="3">
        <v>542826038381.4483</v>
      </c>
      <c r="C63" s="3">
        <v>538172652265.82208</v>
      </c>
      <c r="D63" s="3">
        <v>3199628176993.644</v>
      </c>
      <c r="E63" s="3">
        <v>3248646670865.1948</v>
      </c>
      <c r="G63" s="3">
        <v>1819921990891.541</v>
      </c>
      <c r="H63" s="3">
        <v>1784199779411.27</v>
      </c>
      <c r="I63" s="3">
        <v>8312672701380.8887</v>
      </c>
      <c r="J63" s="3">
        <v>8535557020121.9385</v>
      </c>
      <c r="L63" s="3">
        <v>262022536373.63309</v>
      </c>
      <c r="M63" s="3">
        <v>267391192693.63889</v>
      </c>
      <c r="N63" s="3">
        <v>4029633891709.7729</v>
      </c>
      <c r="O63" s="3">
        <v>4341642698416.894</v>
      </c>
      <c r="Q63" s="7">
        <v>0.1439745976393603</v>
      </c>
      <c r="R63" s="7">
        <v>0.14952174654330341</v>
      </c>
      <c r="S63" s="7">
        <v>0.48475791559077941</v>
      </c>
      <c r="T63" s="7">
        <v>0.50035296940380936</v>
      </c>
      <c r="V63" s="7">
        <v>0.1033322130819338</v>
      </c>
      <c r="W63" s="7">
        <v>9.1416667750922706E-2</v>
      </c>
      <c r="X63" s="7">
        <v>0.1081029233111386</v>
      </c>
      <c r="Y63" s="7">
        <v>0.1057553143767717</v>
      </c>
      <c r="AA63" s="9">
        <v>22.744317502320651</v>
      </c>
      <c r="AB63" s="9">
        <v>23.148882149544342</v>
      </c>
      <c r="AC63" s="9">
        <v>15.40553063331248</v>
      </c>
      <c r="AD63" s="9">
        <v>14.63976405247174</v>
      </c>
    </row>
    <row r="64" spans="1:30" x14ac:dyDescent="0.25">
      <c r="A64" s="1">
        <v>43008</v>
      </c>
      <c r="B64" s="3">
        <v>539605575031.69598</v>
      </c>
      <c r="C64" s="3">
        <v>550803785964.526</v>
      </c>
      <c r="D64" s="3">
        <v>3361299583441.9922</v>
      </c>
      <c r="E64" s="3">
        <v>3312513182251.2271</v>
      </c>
      <c r="G64" s="3">
        <v>1865372012219.842</v>
      </c>
      <c r="H64" s="3">
        <v>1876529787534.8411</v>
      </c>
      <c r="I64" s="3">
        <v>8828346996447.0352</v>
      </c>
      <c r="J64" s="3">
        <v>9174475627966.4238</v>
      </c>
      <c r="L64" s="3">
        <v>276817216429.87292</v>
      </c>
      <c r="M64" s="3">
        <v>271577912278.47391</v>
      </c>
      <c r="N64" s="3">
        <v>5134842150106.0518</v>
      </c>
      <c r="O64" s="3">
        <v>5615698298762.457</v>
      </c>
      <c r="Q64" s="7">
        <v>0.14839786091807669</v>
      </c>
      <c r="R64" s="7">
        <v>0.1449125324398283</v>
      </c>
      <c r="S64" s="7">
        <v>0.58163121048284205</v>
      </c>
      <c r="T64" s="7">
        <v>0.52619459966004767</v>
      </c>
      <c r="V64" s="7">
        <v>0.11788222630648459</v>
      </c>
      <c r="W64" s="7">
        <v>0.1125758159745576</v>
      </c>
      <c r="X64" s="7">
        <v>0.13755683823848819</v>
      </c>
      <c r="Y64" s="7">
        <v>0.12943296302390009</v>
      </c>
      <c r="AA64" s="9">
        <v>23.624984246462319</v>
      </c>
      <c r="AB64" s="9">
        <v>23.41428334626606</v>
      </c>
      <c r="AC64" s="9">
        <v>15.74856090047793</v>
      </c>
      <c r="AD64" s="9">
        <v>14.65755318091457</v>
      </c>
    </row>
    <row r="65" spans="1:30" x14ac:dyDescent="0.25">
      <c r="A65" s="1">
        <v>43100</v>
      </c>
      <c r="B65" s="3">
        <v>566766721393.2771</v>
      </c>
      <c r="C65" s="3">
        <v>562174264320.96094</v>
      </c>
      <c r="D65" s="3">
        <v>3689595971868.5122</v>
      </c>
      <c r="E65" s="3">
        <v>3368805237800.0532</v>
      </c>
      <c r="G65" s="3">
        <v>2109351241136.365</v>
      </c>
      <c r="H65" s="3">
        <v>2176097634472.1411</v>
      </c>
      <c r="I65" s="3">
        <v>8729356430989.0488</v>
      </c>
      <c r="J65" s="3">
        <v>7999105603381.748</v>
      </c>
      <c r="L65" s="3">
        <v>312812797256.07068</v>
      </c>
      <c r="M65" s="3">
        <v>321115397398.76379</v>
      </c>
      <c r="N65" s="3">
        <v>4194763379452.6948</v>
      </c>
      <c r="O65" s="3">
        <v>4646117614116.7041</v>
      </c>
      <c r="Q65" s="7">
        <v>0.14829810756768511</v>
      </c>
      <c r="R65" s="7">
        <v>0.152977333636973</v>
      </c>
      <c r="S65" s="7">
        <v>0.48053523906543272</v>
      </c>
      <c r="T65" s="7">
        <v>0.51434476168563825</v>
      </c>
      <c r="V65" s="7">
        <v>0.11313496298160899</v>
      </c>
      <c r="W65" s="7">
        <v>0.1176563528180357</v>
      </c>
      <c r="X65" s="7">
        <v>0.15386160720265321</v>
      </c>
      <c r="Y65" s="7">
        <v>0.17202816418828251</v>
      </c>
      <c r="AA65" s="9">
        <v>24.489433480075601</v>
      </c>
      <c r="AB65" s="9">
        <v>23.265580642440959</v>
      </c>
      <c r="AC65" s="9">
        <v>15.93669688179838</v>
      </c>
      <c r="AD65" s="9">
        <v>17.016760731848631</v>
      </c>
    </row>
    <row r="66" spans="1:30" x14ac:dyDescent="0.25">
      <c r="A66" s="1">
        <v>43190</v>
      </c>
      <c r="B66" s="3">
        <v>571953553307.99512</v>
      </c>
      <c r="C66" s="3">
        <v>570953612551.26733</v>
      </c>
      <c r="D66" s="3">
        <v>3125994595100.3169</v>
      </c>
      <c r="E66" s="3">
        <v>3430836855743.6362</v>
      </c>
      <c r="G66" s="3">
        <v>1991829534533.2371</v>
      </c>
      <c r="H66" s="3">
        <v>1930491995152.8159</v>
      </c>
      <c r="I66" s="3">
        <v>8501468097349.1104</v>
      </c>
      <c r="J66" s="3">
        <v>8076446605141.6465</v>
      </c>
      <c r="L66" s="3">
        <v>326509444736.1756</v>
      </c>
      <c r="M66" s="3">
        <v>307922416396.52472</v>
      </c>
      <c r="N66" s="3">
        <v>4299730787794.5898</v>
      </c>
      <c r="O66" s="3">
        <v>3720287276132.7979</v>
      </c>
      <c r="Q66" s="7">
        <v>0.16392439165869149</v>
      </c>
      <c r="R66" s="7">
        <v>0.15113319274725409</v>
      </c>
      <c r="S66" s="7">
        <v>0.50576332682296521</v>
      </c>
      <c r="T66" s="7">
        <v>0.50243071958721164</v>
      </c>
      <c r="V66" s="7">
        <v>0.14237126210986811</v>
      </c>
      <c r="W66" s="7">
        <v>0.1545550010673771</v>
      </c>
      <c r="X66" s="7">
        <v>0.23541767859020701</v>
      </c>
      <c r="Y66" s="7">
        <v>0.1787082937454485</v>
      </c>
      <c r="AA66" s="9">
        <v>23.450170667456302</v>
      </c>
      <c r="AB66" s="9">
        <v>23.327387039892962</v>
      </c>
      <c r="AC66" s="9">
        <v>15.24663132391624</v>
      </c>
      <c r="AD66" s="9">
        <v>14.64171196531461</v>
      </c>
    </row>
    <row r="67" spans="1:30" x14ac:dyDescent="0.25">
      <c r="A67" s="1">
        <v>43281</v>
      </c>
      <c r="B67" s="3">
        <v>587922921055.58618</v>
      </c>
      <c r="C67" s="3">
        <v>581466244795.93274</v>
      </c>
      <c r="D67" s="3">
        <v>3488041249698.666</v>
      </c>
      <c r="E67" s="3">
        <v>3483258275407.5571</v>
      </c>
      <c r="G67" s="3">
        <v>2040413427221.053</v>
      </c>
      <c r="H67" s="3">
        <v>2020308275193.0049</v>
      </c>
      <c r="I67" s="3">
        <v>7712298894032.4844</v>
      </c>
      <c r="J67" s="3">
        <v>7938910359238.4043</v>
      </c>
      <c r="L67" s="3">
        <v>298427841852.02008</v>
      </c>
      <c r="M67" s="3">
        <v>299301463875.9328</v>
      </c>
      <c r="N67" s="3">
        <v>3709451960345.0068</v>
      </c>
      <c r="O67" s="3">
        <v>3384816571669.7422</v>
      </c>
      <c r="Q67" s="7">
        <v>0.14625851696068509</v>
      </c>
      <c r="R67" s="7">
        <v>0.1533126510379785</v>
      </c>
      <c r="S67" s="7">
        <v>0.4809787602001856</v>
      </c>
      <c r="T67" s="7">
        <v>0.50009246508290361</v>
      </c>
      <c r="V67" s="7">
        <v>0.13349226227241379</v>
      </c>
      <c r="W67" s="7">
        <v>0.1241789234002887</v>
      </c>
      <c r="X67" s="7">
        <v>0.17856369254659091</v>
      </c>
      <c r="Y67" s="7">
        <v>0.18377692406475371</v>
      </c>
      <c r="AA67" s="9">
        <v>23.073029663996088</v>
      </c>
      <c r="AB67" s="9">
        <v>23.5641118457443</v>
      </c>
      <c r="AC67" s="9">
        <v>14.00156962741821</v>
      </c>
      <c r="AD67" s="9">
        <v>14.03617766093358</v>
      </c>
    </row>
    <row r="68" spans="1:30" x14ac:dyDescent="0.25">
      <c r="A68" s="1">
        <v>43373</v>
      </c>
      <c r="B68" s="3">
        <v>570104930131.61536</v>
      </c>
      <c r="C68" s="3">
        <v>581649845715.52881</v>
      </c>
      <c r="D68" s="3">
        <v>3620346143655.4878</v>
      </c>
      <c r="E68" s="3">
        <v>3533106206305.75</v>
      </c>
      <c r="G68" s="3">
        <v>1934987098969.842</v>
      </c>
      <c r="H68" s="3">
        <v>1959444827882.7661</v>
      </c>
      <c r="I68" s="3">
        <v>7377474739299.3672</v>
      </c>
      <c r="J68" s="3">
        <v>7968683651461.8691</v>
      </c>
      <c r="L68" s="3">
        <v>302823061365.49017</v>
      </c>
      <c r="M68" s="3">
        <v>313982446835.33862</v>
      </c>
      <c r="N68" s="3">
        <v>2934308839399.7559</v>
      </c>
      <c r="O68" s="3">
        <v>3436695406509.6919</v>
      </c>
      <c r="Q68" s="7">
        <v>0.1564987495403502</v>
      </c>
      <c r="R68" s="7">
        <v>0.1572277657136309</v>
      </c>
      <c r="S68" s="7">
        <v>0.39773892057791371</v>
      </c>
      <c r="T68" s="7">
        <v>0.3656759733937473</v>
      </c>
      <c r="V68" s="7">
        <v>0.14833756696822781</v>
      </c>
      <c r="W68" s="7">
        <v>0.12814416161915559</v>
      </c>
      <c r="X68" s="7">
        <v>0.20423963866598099</v>
      </c>
      <c r="Y68" s="7">
        <v>0.18547152965891761</v>
      </c>
      <c r="AA68" s="9">
        <v>23.572640833170691</v>
      </c>
      <c r="AB68" s="9">
        <v>23.752750404643969</v>
      </c>
      <c r="AC68" s="9">
        <v>12.74869813499522</v>
      </c>
      <c r="AD68" s="9">
        <v>12.572603491988859</v>
      </c>
    </row>
    <row r="69" spans="1:30" x14ac:dyDescent="0.25">
      <c r="A69" s="1">
        <v>43465</v>
      </c>
      <c r="B69" s="3">
        <v>592971699453.32153</v>
      </c>
      <c r="C69" s="3">
        <v>587042827368.65259</v>
      </c>
      <c r="D69" s="3">
        <v>3968903135418.7461</v>
      </c>
      <c r="E69" s="3">
        <v>3581250563609.561</v>
      </c>
      <c r="G69" s="3">
        <v>1954388991772.0591</v>
      </c>
      <c r="H69" s="3">
        <v>1957366507072.3379</v>
      </c>
      <c r="I69" s="3">
        <v>6552536387149.8535</v>
      </c>
      <c r="J69" s="3">
        <v>6391130418704.7256</v>
      </c>
      <c r="L69" s="3">
        <v>286011538311.11798</v>
      </c>
      <c r="M69" s="3">
        <v>298729875778.44061</v>
      </c>
      <c r="N69" s="3">
        <v>2769485173148.021</v>
      </c>
      <c r="O69" s="3">
        <v>3563967535445.6709</v>
      </c>
      <c r="Q69" s="7">
        <v>0.14634319959599709</v>
      </c>
      <c r="R69" s="7">
        <v>0.15181782288470361</v>
      </c>
      <c r="S69" s="7">
        <v>0.42265849581228487</v>
      </c>
      <c r="T69" s="7">
        <v>0.49767466415061151</v>
      </c>
      <c r="V69" s="7">
        <v>0.21809027028804129</v>
      </c>
      <c r="W69" s="7">
        <v>0.24273735581386829</v>
      </c>
      <c r="X69" s="7">
        <v>0.25469209521303271</v>
      </c>
      <c r="Y69" s="7">
        <v>0.30002694446942041</v>
      </c>
      <c r="AA69" s="9">
        <v>23.024712667111508</v>
      </c>
      <c r="AB69" s="9">
        <v>22.903842757489869</v>
      </c>
      <c r="AC69" s="9">
        <v>11.916954868987251</v>
      </c>
      <c r="AD69" s="9">
        <v>13.683934448448371</v>
      </c>
    </row>
    <row r="70" spans="1:30" x14ac:dyDescent="0.25">
      <c r="A70" s="1">
        <v>43555</v>
      </c>
      <c r="B70" s="3">
        <v>582849307539.25549</v>
      </c>
      <c r="C70" s="3">
        <v>580481395119.54004</v>
      </c>
      <c r="D70" s="3">
        <v>3304369575054.1528</v>
      </c>
      <c r="E70" s="3">
        <v>3805096762518.5542</v>
      </c>
      <c r="G70" s="3">
        <v>1978083909776.2939</v>
      </c>
      <c r="H70" s="3">
        <v>1964053430541.8879</v>
      </c>
      <c r="I70" s="3">
        <v>8398515262151.9951</v>
      </c>
      <c r="J70" s="3">
        <v>8161028389391.2422</v>
      </c>
      <c r="L70" s="3">
        <v>288285234978.64917</v>
      </c>
      <c r="M70" s="3">
        <v>292272492334.05792</v>
      </c>
      <c r="N70" s="3">
        <v>5088661914895.6807</v>
      </c>
      <c r="O70" s="3">
        <v>4175136024982.9658</v>
      </c>
      <c r="Q70" s="7">
        <v>0.1457396390283828</v>
      </c>
      <c r="R70" s="7">
        <v>0.13309274380099401</v>
      </c>
      <c r="S70" s="7">
        <v>0.60590018069357965</v>
      </c>
      <c r="T70" s="7">
        <v>0.51701406811063721</v>
      </c>
      <c r="V70" s="7">
        <v>0.12606877236480341</v>
      </c>
      <c r="W70" s="7">
        <v>0.1364124643617394</v>
      </c>
      <c r="X70" s="7">
        <v>0.18530614820733279</v>
      </c>
      <c r="Y70" s="7">
        <v>0.12787566570230841</v>
      </c>
      <c r="AA70" s="9">
        <v>24.495808639386759</v>
      </c>
      <c r="AB70" s="9">
        <v>24.61313528076272</v>
      </c>
      <c r="AC70" s="9">
        <v>13.64812629901949</v>
      </c>
      <c r="AD70" s="9">
        <v>13.599396783363829</v>
      </c>
    </row>
    <row r="71" spans="1:30" x14ac:dyDescent="0.25">
      <c r="A71" s="1">
        <v>43646</v>
      </c>
      <c r="B71" s="3">
        <v>591215469691.50513</v>
      </c>
      <c r="C71" s="3">
        <v>581365500146.19006</v>
      </c>
      <c r="D71" s="3">
        <v>3667838940356.8198</v>
      </c>
      <c r="E71" s="3">
        <v>3651058249636.8491</v>
      </c>
      <c r="G71" s="3">
        <v>1972300649393.3169</v>
      </c>
      <c r="H71" s="3">
        <v>1970003949258.582</v>
      </c>
      <c r="I71" s="3">
        <v>7989837199087.9102</v>
      </c>
      <c r="J71" s="3">
        <v>8324961733921.5244</v>
      </c>
      <c r="L71" s="3">
        <v>281500201253.65387</v>
      </c>
      <c r="M71" s="3">
        <v>265101323459.2984</v>
      </c>
      <c r="N71" s="3">
        <v>5286429861153.9102</v>
      </c>
      <c r="O71" s="3">
        <v>5854645953672.5137</v>
      </c>
      <c r="Q71" s="7">
        <v>0.1427268207513108</v>
      </c>
      <c r="R71" s="7">
        <v>0.15783943316181981</v>
      </c>
      <c r="S71" s="7">
        <v>0.6616442524958317</v>
      </c>
      <c r="T71" s="7">
        <v>0.68664979050372033</v>
      </c>
      <c r="V71" s="7">
        <v>0.16789514341839951</v>
      </c>
      <c r="W71" s="7">
        <v>0.1407769178849832</v>
      </c>
      <c r="X71" s="7">
        <v>0.17017060906229889</v>
      </c>
      <c r="Y71" s="7">
        <v>0.1834770243336428</v>
      </c>
      <c r="AA71" s="9">
        <v>24.214518715394341</v>
      </c>
      <c r="AB71" s="9">
        <v>25.23667004633365</v>
      </c>
      <c r="AC71" s="9">
        <v>13.003317507266599</v>
      </c>
      <c r="AD71" s="9">
        <v>13.150129719070589</v>
      </c>
    </row>
    <row r="72" spans="1:30" x14ac:dyDescent="0.25">
      <c r="A72" s="1">
        <v>43738</v>
      </c>
      <c r="B72" s="3">
        <v>569420337502.92114</v>
      </c>
      <c r="C72" s="3">
        <v>577940375027.86816</v>
      </c>
      <c r="D72" s="3">
        <v>3773429273517.9121</v>
      </c>
      <c r="E72" s="3">
        <v>3682219719016.5918</v>
      </c>
      <c r="G72" s="3">
        <v>1872289549939.1809</v>
      </c>
      <c r="H72" s="3">
        <v>1977316328628.968</v>
      </c>
      <c r="I72" s="3">
        <v>8044872350667.1104</v>
      </c>
      <c r="J72" s="3">
        <v>8239276821467.1357</v>
      </c>
      <c r="L72" s="3">
        <v>283997624591.93793</v>
      </c>
      <c r="M72" s="3">
        <v>333819880093.08972</v>
      </c>
      <c r="N72" s="3">
        <v>4477256308886.1582</v>
      </c>
      <c r="O72" s="3">
        <v>3462787356000.998</v>
      </c>
      <c r="Q72" s="7">
        <v>0.1516846711029089</v>
      </c>
      <c r="R72" s="7">
        <v>0.16047401198322109</v>
      </c>
      <c r="S72" s="7">
        <v>0.55653540711741534</v>
      </c>
      <c r="T72" s="7">
        <v>0.55327272083275758</v>
      </c>
      <c r="V72" s="7">
        <v>0.20507842394937431</v>
      </c>
      <c r="W72" s="7">
        <v>0.1883603670106572</v>
      </c>
      <c r="X72" s="7">
        <v>0.15991305964054431</v>
      </c>
      <c r="Y72" s="7">
        <v>0.14295240217084301</v>
      </c>
      <c r="AA72" s="9">
        <v>22.677434252003572</v>
      </c>
      <c r="AB72" s="9">
        <v>23.302896499476219</v>
      </c>
      <c r="AC72" s="9">
        <v>13.03155292330298</v>
      </c>
      <c r="AD72" s="9">
        <v>13.901678763901931</v>
      </c>
    </row>
    <row r="73" spans="1:30" x14ac:dyDescent="0.25">
      <c r="A73" s="1">
        <v>43830</v>
      </c>
      <c r="B73" s="3">
        <v>579907300673.18579</v>
      </c>
      <c r="C73" s="3">
        <v>572846165708.69727</v>
      </c>
      <c r="D73" s="3">
        <v>4079367660596.9282</v>
      </c>
      <c r="E73" s="3">
        <v>3633756756578.312</v>
      </c>
      <c r="G73" s="3">
        <v>1934405665285.9319</v>
      </c>
      <c r="H73" s="3">
        <v>1890733954006.0991</v>
      </c>
      <c r="I73" s="3">
        <v>8571176862042.0801</v>
      </c>
      <c r="J73" s="3">
        <v>9067348001606.291</v>
      </c>
      <c r="L73" s="3">
        <v>303142738035.4151</v>
      </c>
      <c r="M73" s="3">
        <v>287238961701.3609</v>
      </c>
      <c r="N73" s="3">
        <v>3975471427483.2578</v>
      </c>
      <c r="O73" s="3">
        <v>4813246207699.3818</v>
      </c>
      <c r="Q73" s="7">
        <v>0.15671104746821879</v>
      </c>
      <c r="R73" s="7">
        <v>0.1637325527659306</v>
      </c>
      <c r="S73" s="7">
        <v>0.46381862041475869</v>
      </c>
      <c r="T73" s="7">
        <v>0.55863261464401859</v>
      </c>
      <c r="V73" s="7">
        <v>0.1056335788817933</v>
      </c>
      <c r="W73" s="7">
        <v>0.1504504927717665</v>
      </c>
      <c r="X73" s="7">
        <v>0.13020710831505089</v>
      </c>
      <c r="Y73" s="7">
        <v>0.2003825983234401</v>
      </c>
      <c r="AA73" s="9">
        <v>25.60072440842098</v>
      </c>
      <c r="AB73" s="9">
        <v>26.83484739594979</v>
      </c>
      <c r="AC73" s="9">
        <v>14.16427370918816</v>
      </c>
      <c r="AD73" s="9">
        <v>14.22406846638131</v>
      </c>
    </row>
    <row r="74" spans="1:30" x14ac:dyDescent="0.25">
      <c r="A74" s="1">
        <v>43921</v>
      </c>
      <c r="B74" s="3">
        <v>582298390718.17542</v>
      </c>
      <c r="C74" s="3">
        <v>567455656638.17542</v>
      </c>
      <c r="D74" s="3">
        <v>2980808719573.4038</v>
      </c>
      <c r="E74" s="3">
        <v>3678872263312.9072</v>
      </c>
      <c r="G74" s="3">
        <v>1409993046659.072</v>
      </c>
      <c r="H74" s="3">
        <v>1291283836756.6809</v>
      </c>
      <c r="I74" s="3">
        <v>8001861178163.8076</v>
      </c>
      <c r="J74" s="3">
        <v>7800246897980.1885</v>
      </c>
      <c r="L74" s="3">
        <v>346139629949.03088</v>
      </c>
      <c r="M74" s="3">
        <v>376019923148.67657</v>
      </c>
      <c r="N74" s="3">
        <v>7108515499947.2178</v>
      </c>
      <c r="O74" s="3">
        <v>6662506459078.5742</v>
      </c>
      <c r="Q74" s="7">
        <v>0.24549030987719861</v>
      </c>
      <c r="R74" s="7">
        <v>0.2177324572328968</v>
      </c>
      <c r="S74" s="7">
        <v>0.88835776348452145</v>
      </c>
      <c r="T74" s="7">
        <v>0.8447158845746312</v>
      </c>
      <c r="V74" s="7">
        <v>0.51057475106665906</v>
      </c>
      <c r="W74" s="7">
        <v>0.49632626547461012</v>
      </c>
      <c r="X74" s="7">
        <v>0.3151166279897985</v>
      </c>
      <c r="Y74" s="7">
        <v>0.28525825209597322</v>
      </c>
      <c r="AA74" s="9">
        <v>17.382696676734788</v>
      </c>
      <c r="AB74" s="9">
        <v>16.81684842564437</v>
      </c>
      <c r="AC74" s="9">
        <v>12.658985607447001</v>
      </c>
      <c r="AD74" s="9">
        <v>11.13375036958629</v>
      </c>
    </row>
    <row r="75" spans="1:30" x14ac:dyDescent="0.25">
      <c r="A75" s="1">
        <v>44012</v>
      </c>
      <c r="B75" s="3">
        <v>455532508274.35138</v>
      </c>
      <c r="C75" s="3">
        <v>471312882843.46613</v>
      </c>
      <c r="D75" s="3">
        <v>3675887638472.0708</v>
      </c>
      <c r="E75" s="3">
        <v>3624076179132.939</v>
      </c>
      <c r="G75" s="3">
        <v>1716701471448.9221</v>
      </c>
      <c r="H75" s="3">
        <v>1714737082271.1599</v>
      </c>
      <c r="I75" s="3">
        <v>9409436885925.0215</v>
      </c>
      <c r="J75" s="3">
        <v>9881263446542.9844</v>
      </c>
      <c r="L75" s="3">
        <v>426732447157.07178</v>
      </c>
      <c r="M75" s="3">
        <v>397215846456.97229</v>
      </c>
      <c r="N75" s="3">
        <v>5649863432544.7969</v>
      </c>
      <c r="O75" s="3">
        <v>7112843677756.6543</v>
      </c>
      <c r="Q75" s="7">
        <v>0.24857696824649611</v>
      </c>
      <c r="R75" s="7">
        <v>0.2505944660557381</v>
      </c>
      <c r="S75" s="7">
        <v>0.60044649866306754</v>
      </c>
      <c r="T75" s="7">
        <v>0.6366351662622588</v>
      </c>
      <c r="V75" s="7">
        <v>0.33356599122879821</v>
      </c>
      <c r="W75" s="7">
        <v>0.33448667322332998</v>
      </c>
      <c r="X75" s="7">
        <v>0.20582010720018101</v>
      </c>
      <c r="Y75" s="7">
        <v>0.22083801268599371</v>
      </c>
      <c r="AA75" s="9">
        <v>23.454197083863349</v>
      </c>
      <c r="AB75" s="9">
        <v>22.851664366809171</v>
      </c>
      <c r="AC75" s="9">
        <v>15.06400224997877</v>
      </c>
      <c r="AD75" s="9">
        <v>14.936603599048521</v>
      </c>
    </row>
    <row r="76" spans="1:30" x14ac:dyDescent="0.25">
      <c r="A76" s="1">
        <v>44104</v>
      </c>
      <c r="B76" s="3">
        <v>519438748474.56927</v>
      </c>
      <c r="C76" s="3">
        <v>534044401773.81409</v>
      </c>
      <c r="D76" s="3">
        <v>3901691987159.6982</v>
      </c>
      <c r="E76" s="3">
        <v>3815505962904.6172</v>
      </c>
      <c r="G76" s="3">
        <v>1871426750222.208</v>
      </c>
      <c r="H76" s="3">
        <v>2065342306663.2759</v>
      </c>
      <c r="I76" s="3">
        <v>10432362284492.83</v>
      </c>
      <c r="J76" s="3">
        <v>10296754950222.539</v>
      </c>
      <c r="L76" s="3">
        <v>491595378083.58557</v>
      </c>
      <c r="M76" s="3">
        <v>497554773453.73889</v>
      </c>
      <c r="N76" s="3">
        <v>10043711630805.561</v>
      </c>
      <c r="O76" s="3">
        <v>7474707589512.5527</v>
      </c>
      <c r="Q76" s="7">
        <v>0.26268480880975698</v>
      </c>
      <c r="R76" s="7">
        <v>0.27492832437004389</v>
      </c>
      <c r="S76" s="7">
        <v>0.96274567129776745</v>
      </c>
      <c r="T76" s="7">
        <v>0.84173238160087116</v>
      </c>
      <c r="V76" s="7">
        <v>0.18003187336271981</v>
      </c>
      <c r="W76" s="7">
        <v>0.16729191451969341</v>
      </c>
      <c r="X76" s="7">
        <v>0.24575877794708481</v>
      </c>
      <c r="Y76" s="7">
        <v>0.23239722573266189</v>
      </c>
      <c r="AA76" s="9">
        <v>28.054825208517041</v>
      </c>
      <c r="AB76" s="9">
        <v>29.210496691752741</v>
      </c>
      <c r="AC76" s="9">
        <v>18.939263038178179</v>
      </c>
      <c r="AD76" s="9">
        <v>19.696433069885821</v>
      </c>
    </row>
    <row r="77" spans="1:30" x14ac:dyDescent="0.25">
      <c r="A77" s="1">
        <v>44196</v>
      </c>
      <c r="B77" s="3">
        <v>589123489306.59985</v>
      </c>
      <c r="C77" s="3">
        <v>576290610068.85999</v>
      </c>
      <c r="D77" s="3">
        <v>4357968536926.6909</v>
      </c>
      <c r="E77" s="3">
        <v>3899046346948.917</v>
      </c>
      <c r="G77" s="3">
        <v>2228215656112.0229</v>
      </c>
      <c r="H77" s="3">
        <v>2135539938431.115</v>
      </c>
      <c r="I77" s="3">
        <v>11510676516329.15</v>
      </c>
      <c r="J77" s="3">
        <v>10674886849542.859</v>
      </c>
      <c r="L77" s="3">
        <v>476474565198.86987</v>
      </c>
      <c r="M77" s="3">
        <v>432471112328.56561</v>
      </c>
      <c r="N77" s="3">
        <v>6986374975068.3535</v>
      </c>
      <c r="O77" s="3">
        <v>7802636379893.8164</v>
      </c>
      <c r="Q77" s="7">
        <v>0.21383682674156529</v>
      </c>
      <c r="R77" s="7">
        <v>0.21935513018205391</v>
      </c>
      <c r="S77" s="7">
        <v>0.60694738186390851</v>
      </c>
      <c r="T77" s="7">
        <v>0.68531026065899492</v>
      </c>
      <c r="V77" s="7">
        <v>0.14650658608063069</v>
      </c>
      <c r="W77" s="7">
        <v>0.17411798120977401</v>
      </c>
      <c r="X77" s="7">
        <v>0.18764356246529329</v>
      </c>
      <c r="Y77" s="7">
        <v>0.24946229186354721</v>
      </c>
      <c r="AA77" s="9">
        <v>31.65458687478867</v>
      </c>
      <c r="AB77" s="9">
        <v>29.807993567469062</v>
      </c>
      <c r="AC77" s="9">
        <v>20.426828910705009</v>
      </c>
      <c r="AD77" s="9">
        <v>21.088331933606149</v>
      </c>
    </row>
    <row r="78" spans="1:30" x14ac:dyDescent="0.25">
      <c r="A78" s="1">
        <v>44286</v>
      </c>
      <c r="B78" s="3">
        <v>623132079652.2323</v>
      </c>
      <c r="C78" s="3">
        <v>590686957852.08936</v>
      </c>
      <c r="D78" s="3">
        <v>3629969543215.208</v>
      </c>
      <c r="E78" s="3">
        <v>4221562349159.332</v>
      </c>
      <c r="G78" s="3">
        <v>2430548737957.0249</v>
      </c>
      <c r="H78" s="3">
        <v>2205843699347.418</v>
      </c>
      <c r="I78" s="3">
        <v>11154119805058.461</v>
      </c>
      <c r="J78" s="3">
        <v>11000238661457.49</v>
      </c>
      <c r="L78" s="3">
        <v>571879232750.29919</v>
      </c>
      <c r="M78" s="3">
        <v>585455261148.73267</v>
      </c>
      <c r="N78" s="3">
        <v>7818993017718.6387</v>
      </c>
      <c r="O78" s="3">
        <v>7853074711178.2373</v>
      </c>
      <c r="Q78" s="7">
        <v>0.2352881157326584</v>
      </c>
      <c r="R78" s="7">
        <v>0.20717438552661879</v>
      </c>
      <c r="S78" s="7">
        <v>0.70099596869783287</v>
      </c>
      <c r="T78" s="7">
        <v>0.69896814609691815</v>
      </c>
      <c r="V78" s="7">
        <v>0.21547623067883351</v>
      </c>
      <c r="W78" s="7">
        <v>0.1779013147505738</v>
      </c>
      <c r="X78" s="7">
        <v>0.28126515091385068</v>
      </c>
      <c r="Y78" s="7">
        <v>0.25319708806187152</v>
      </c>
      <c r="AA78" s="9">
        <v>31.386237405748901</v>
      </c>
      <c r="AB78" s="9">
        <v>30.049929727898451</v>
      </c>
      <c r="AC78" s="9">
        <v>18.572102504116391</v>
      </c>
      <c r="AD78" s="9">
        <v>15.577508667381631</v>
      </c>
    </row>
    <row r="79" spans="1:30" x14ac:dyDescent="0.25">
      <c r="A79" s="1">
        <v>44377</v>
      </c>
      <c r="B79" s="3">
        <v>557531834727.98169</v>
      </c>
      <c r="C79" s="3">
        <v>598866594076.58752</v>
      </c>
      <c r="D79" s="3">
        <v>4124376843248.7632</v>
      </c>
      <c r="E79" s="3">
        <v>4080482642534.4658</v>
      </c>
      <c r="G79" s="3">
        <v>2691306959920.7358</v>
      </c>
      <c r="H79" s="3">
        <v>2898205092812.2251</v>
      </c>
      <c r="I79" s="3">
        <v>12370220999941.18</v>
      </c>
      <c r="J79" s="3">
        <v>12676874430948.801</v>
      </c>
      <c r="L79" s="3">
        <v>559734891947.85181</v>
      </c>
      <c r="M79" s="3">
        <v>565316186847.66382</v>
      </c>
      <c r="N79" s="3">
        <v>7544343350508.6123</v>
      </c>
      <c r="O79" s="3">
        <v>8348103539987.1963</v>
      </c>
      <c r="Q79" s="7">
        <v>0.20797883715365459</v>
      </c>
      <c r="R79" s="7">
        <v>0.19573816283199649</v>
      </c>
      <c r="S79" s="7">
        <v>0.60987943146241974</v>
      </c>
      <c r="T79" s="7">
        <v>0.6789510099197501</v>
      </c>
      <c r="V79" s="7">
        <v>0.15165641614123609</v>
      </c>
      <c r="W79" s="7">
        <v>0.1820983063113446</v>
      </c>
      <c r="X79" s="7">
        <v>0.15750019175548119</v>
      </c>
      <c r="Y79" s="7">
        <v>0.13544115749125421</v>
      </c>
      <c r="AA79" s="9">
        <v>32.278826816251438</v>
      </c>
      <c r="AB79" s="9">
        <v>29.901065704323639</v>
      </c>
      <c r="AC79" s="9">
        <v>20.401096634388161</v>
      </c>
      <c r="AD79" s="9">
        <v>20.96335171145541</v>
      </c>
    </row>
    <row r="80" spans="1:30" x14ac:dyDescent="0.25">
      <c r="A80" s="1">
        <v>44469</v>
      </c>
      <c r="B80" s="3">
        <v>590279565152.37561</v>
      </c>
      <c r="C80" s="3">
        <v>611542498906.75806</v>
      </c>
      <c r="D80" s="3">
        <v>4264516714610.4028</v>
      </c>
      <c r="E80" s="3">
        <v>4180253329677.9199</v>
      </c>
      <c r="G80" s="3">
        <v>2988487320739.498</v>
      </c>
      <c r="H80" s="3">
        <v>3069519833850.4902</v>
      </c>
      <c r="I80" s="3">
        <v>12407696153560.16</v>
      </c>
      <c r="J80" s="3">
        <v>11492462840408.939</v>
      </c>
      <c r="L80" s="3">
        <v>506997510746.2547</v>
      </c>
      <c r="M80" s="3">
        <v>464628125595.75879</v>
      </c>
      <c r="N80" s="3">
        <v>11914555794994.48</v>
      </c>
      <c r="O80" s="3">
        <v>10413689191210.891</v>
      </c>
      <c r="Q80" s="7">
        <v>0.16965021307863501</v>
      </c>
      <c r="R80" s="7">
        <v>0.1842723945972374</v>
      </c>
      <c r="S80" s="7">
        <v>0.96025528410250582</v>
      </c>
      <c r="T80" s="7">
        <v>0.71175352717476259</v>
      </c>
      <c r="V80" s="7">
        <v>0.1159119026331292</v>
      </c>
      <c r="W80" s="7">
        <v>0.1117652058749998</v>
      </c>
      <c r="X80" s="7">
        <v>0.30474513235052247</v>
      </c>
      <c r="Y80" s="7">
        <v>0.26911705805862041</v>
      </c>
      <c r="AA80" s="9">
        <v>35.32967608134215</v>
      </c>
      <c r="AB80" s="9">
        <v>37.073460335193857</v>
      </c>
      <c r="AC80" s="9">
        <v>15.01273794852264</v>
      </c>
      <c r="AD80" s="9">
        <v>15.550736953871629</v>
      </c>
    </row>
    <row r="81" spans="1:31" x14ac:dyDescent="0.25">
      <c r="A81" s="1">
        <v>44561</v>
      </c>
      <c r="B81" s="3">
        <v>646112852361.1969</v>
      </c>
      <c r="C81" s="3">
        <v>629443085811.17334</v>
      </c>
      <c r="D81" s="3">
        <v>4721260507470.1191</v>
      </c>
      <c r="E81" s="3">
        <v>4284708341582.0078</v>
      </c>
      <c r="G81" s="3">
        <v>3002900532752.2832</v>
      </c>
      <c r="H81" s="3">
        <v>2920328365274.9341</v>
      </c>
      <c r="I81" s="3">
        <v>12995023999253.811</v>
      </c>
      <c r="J81" s="3">
        <v>13149204528683.859</v>
      </c>
      <c r="L81" s="3">
        <v>508089211890.28931</v>
      </c>
      <c r="M81" s="3">
        <v>499292469571.18909</v>
      </c>
      <c r="N81" s="3">
        <v>9519762866594.6406</v>
      </c>
      <c r="O81" s="3">
        <v>10251056159488.24</v>
      </c>
      <c r="Q81" s="7">
        <v>0.16919948108457811</v>
      </c>
      <c r="R81" s="7">
        <v>0.17589994743936069</v>
      </c>
      <c r="S81" s="7">
        <v>0.73256985651902429</v>
      </c>
      <c r="T81" s="7">
        <v>0.81060560279232596</v>
      </c>
      <c r="V81" s="7">
        <v>0.17053887282630339</v>
      </c>
      <c r="W81" s="7">
        <v>0.18794244252768971</v>
      </c>
      <c r="X81" s="7">
        <v>0.21022381131649881</v>
      </c>
      <c r="Y81" s="7">
        <v>0.27429122723181321</v>
      </c>
      <c r="AA81" s="9">
        <v>33.99828557390147</v>
      </c>
      <c r="AB81" s="9">
        <v>33.807765828271521</v>
      </c>
      <c r="AC81" s="9">
        <v>14.227352830120511</v>
      </c>
      <c r="AD81" s="9">
        <v>15.348069308128011</v>
      </c>
    </row>
    <row r="82" spans="1:31" x14ac:dyDescent="0.25">
      <c r="A82" s="1">
        <v>44651</v>
      </c>
      <c r="B82" s="3">
        <v>679335825363.46814</v>
      </c>
      <c r="C82" s="3">
        <v>641144929181.44031</v>
      </c>
      <c r="D82" s="3">
        <v>3899806582150.7769</v>
      </c>
      <c r="E82" s="3">
        <v>4391645832376.5439</v>
      </c>
      <c r="G82" s="3">
        <v>2980238343991.7642</v>
      </c>
      <c r="H82" s="3">
        <v>2860057655579.3232</v>
      </c>
      <c r="I82" s="3">
        <v>11327688038185.949</v>
      </c>
      <c r="J82" s="3">
        <v>11840331670256.119</v>
      </c>
      <c r="L82" s="3">
        <v>464467647971.99628</v>
      </c>
      <c r="M82" s="3">
        <v>456609823868.68622</v>
      </c>
      <c r="N82" s="3">
        <v>8230954489659.2324</v>
      </c>
      <c r="O82" s="3">
        <v>8192191073611.9697</v>
      </c>
      <c r="Q82" s="7">
        <v>0.15584916183243361</v>
      </c>
      <c r="R82" s="7">
        <v>0.16183971891505761</v>
      </c>
      <c r="S82" s="7">
        <v>0.72662263137124339</v>
      </c>
      <c r="T82" s="7">
        <v>0.716921182040547</v>
      </c>
      <c r="V82" s="7">
        <v>0.25497725424188389</v>
      </c>
      <c r="W82" s="7">
        <v>0.248408181125294</v>
      </c>
      <c r="X82" s="7">
        <v>0.4629720994874002</v>
      </c>
      <c r="Y82" s="7">
        <v>0.44601665224662379</v>
      </c>
      <c r="AA82" s="9">
        <v>26.95561352939281</v>
      </c>
      <c r="AB82" s="9">
        <v>28.763784809554291</v>
      </c>
      <c r="AC82" s="9">
        <v>13.616486612964531</v>
      </c>
      <c r="AD82" s="9">
        <v>11.720799035222401</v>
      </c>
    </row>
    <row r="83" spans="1:31" x14ac:dyDescent="0.25">
      <c r="A83" s="1">
        <v>44742</v>
      </c>
      <c r="B83" s="3">
        <v>650507160718.58765</v>
      </c>
      <c r="C83" s="3">
        <v>691671851423.18896</v>
      </c>
      <c r="D83" s="3">
        <v>4189324836280.8442</v>
      </c>
      <c r="E83" s="3">
        <v>4155719387214.3628</v>
      </c>
      <c r="G83" s="3">
        <v>2680962157189.4751</v>
      </c>
      <c r="H83" s="3">
        <v>2888128032860.9609</v>
      </c>
      <c r="I83" s="3">
        <v>11880726105452.439</v>
      </c>
      <c r="J83" s="3">
        <v>11935041531792.789</v>
      </c>
      <c r="L83" s="3">
        <v>407791686182.91309</v>
      </c>
      <c r="M83" s="3">
        <v>443682573446.95471</v>
      </c>
      <c r="N83" s="3">
        <v>7831093879112.7139</v>
      </c>
      <c r="O83" s="3">
        <v>8061211772949.5947</v>
      </c>
      <c r="Q83" s="7">
        <v>0.1521064686009638</v>
      </c>
      <c r="R83" s="7">
        <v>0.15104066060509461</v>
      </c>
      <c r="S83" s="7">
        <v>0.65914269966368289</v>
      </c>
      <c r="T83" s="7">
        <v>0.71716795329034255</v>
      </c>
      <c r="V83" s="7">
        <v>0.21234792666114849</v>
      </c>
      <c r="W83" s="7">
        <v>0.17978135566074691</v>
      </c>
      <c r="X83" s="7">
        <v>0.33355907190722139</v>
      </c>
      <c r="Y83" s="7">
        <v>0.27465685564780939</v>
      </c>
      <c r="AA83" s="9">
        <v>23.232744181475681</v>
      </c>
      <c r="AB83" s="9">
        <v>20.680573157893321</v>
      </c>
      <c r="AC83" s="9">
        <v>13.579640396292939</v>
      </c>
      <c r="AD83" s="9">
        <v>14.683959036719919</v>
      </c>
    </row>
    <row r="84" spans="1:31" x14ac:dyDescent="0.25">
      <c r="A84" s="1">
        <v>44834</v>
      </c>
      <c r="B84" s="3">
        <v>639327222116.77771</v>
      </c>
      <c r="C84" s="3">
        <v>655670981270.65649</v>
      </c>
      <c r="D84" s="3">
        <v>4397487016723.3442</v>
      </c>
      <c r="E84" s="3">
        <v>4320410168501.5981</v>
      </c>
      <c r="G84" s="3">
        <v>2948122678757.646</v>
      </c>
      <c r="H84" s="3">
        <v>2916224450865.6631</v>
      </c>
      <c r="I84" s="3">
        <v>10594169482114.779</v>
      </c>
      <c r="J84" s="3">
        <v>9639244546497.7949</v>
      </c>
      <c r="L84" s="3">
        <v>407128166638.84113</v>
      </c>
      <c r="M84" s="3">
        <v>427476997873.92188</v>
      </c>
      <c r="N84" s="3">
        <v>8316418430038.6318</v>
      </c>
      <c r="O84" s="3">
        <v>7848795994013.5791</v>
      </c>
      <c r="Q84" s="7">
        <v>0.13809743046731249</v>
      </c>
      <c r="R84" s="7">
        <v>0.14240420959199751</v>
      </c>
      <c r="S84" s="7">
        <v>0.78499956453203079</v>
      </c>
      <c r="T84" s="7">
        <v>0.70721558571223109</v>
      </c>
      <c r="V84" s="7">
        <v>0.169084788380995</v>
      </c>
      <c r="W84" s="7">
        <v>0.17268204751977509</v>
      </c>
      <c r="X84" s="7">
        <v>0.2160757789086008</v>
      </c>
      <c r="Y84" s="7">
        <v>0.20391954838683671</v>
      </c>
      <c r="AA84" s="9">
        <v>25.659554825923969</v>
      </c>
      <c r="AB84" s="9">
        <v>27.816852634549299</v>
      </c>
      <c r="AC84" s="9">
        <v>11.3931979140712</v>
      </c>
      <c r="AD84" s="9">
        <v>11.594834169537179</v>
      </c>
    </row>
    <row r="85" spans="1:31" x14ac:dyDescent="0.25">
      <c r="A85" s="1">
        <v>44926</v>
      </c>
      <c r="B85" s="3">
        <v>669586841997.323</v>
      </c>
      <c r="C85" s="3">
        <v>655553498881.14514</v>
      </c>
      <c r="D85" s="3">
        <v>4768518006290.6572</v>
      </c>
      <c r="E85" s="3">
        <v>4336120883251.8828</v>
      </c>
      <c r="G85" s="3">
        <v>3016911460014.0991</v>
      </c>
      <c r="H85" s="3">
        <v>2944145680978.6099</v>
      </c>
      <c r="I85" s="3">
        <v>10976204958796.869</v>
      </c>
      <c r="J85" s="3">
        <v>12064532027255.98</v>
      </c>
      <c r="L85" s="3">
        <v>374190214312.97192</v>
      </c>
      <c r="M85" s="3">
        <v>409626921406.80542</v>
      </c>
      <c r="N85" s="3">
        <v>7026969859660.8916</v>
      </c>
      <c r="O85" s="3">
        <v>7664496689578.9785</v>
      </c>
      <c r="Q85" s="7">
        <v>0.1240308902904374</v>
      </c>
      <c r="R85" s="7">
        <v>0.1375457097778387</v>
      </c>
      <c r="S85" s="7">
        <v>0.64020031386432275</v>
      </c>
      <c r="T85" s="7">
        <v>0.71620943947198712</v>
      </c>
      <c r="V85" s="7">
        <v>0.1486921247456264</v>
      </c>
      <c r="W85" s="7">
        <v>0.16588423030544591</v>
      </c>
      <c r="X85" s="7">
        <v>0.43273287241340191</v>
      </c>
      <c r="Y85" s="7">
        <v>0.4970357507591161</v>
      </c>
      <c r="AA85" s="9">
        <v>26.06790055653881</v>
      </c>
      <c r="AB85" s="9">
        <v>27.44906659251598</v>
      </c>
      <c r="AC85" s="9">
        <v>13.430953896952399</v>
      </c>
      <c r="AD85" s="9">
        <v>14.04331384760016</v>
      </c>
    </row>
    <row r="86" spans="1:31" x14ac:dyDescent="0.25">
      <c r="A86" s="1">
        <v>45016</v>
      </c>
      <c r="B86" s="3">
        <v>699296890146.67737</v>
      </c>
      <c r="C86" s="3">
        <v>668262474254.91748</v>
      </c>
      <c r="D86" s="3">
        <v>4063255246931.0679</v>
      </c>
      <c r="E86" s="3">
        <v>4520568020390.5225</v>
      </c>
      <c r="G86" s="3">
        <v>2748165983063.0381</v>
      </c>
      <c r="H86" s="3">
        <v>2743439354110.9258</v>
      </c>
      <c r="I86" s="3">
        <v>11797134733581.34</v>
      </c>
      <c r="J86" s="3">
        <v>12080388395318.721</v>
      </c>
      <c r="L86" s="3">
        <v>344172826861.57031</v>
      </c>
      <c r="M86" s="3">
        <v>315105537880.22919</v>
      </c>
      <c r="N86" s="3">
        <v>7224093455453.6758</v>
      </c>
      <c r="O86" s="3">
        <v>7084288998055.4619</v>
      </c>
      <c r="Q86" s="7">
        <v>0.12523727787284661</v>
      </c>
      <c r="R86" s="7">
        <v>0.1137691958848072</v>
      </c>
      <c r="S86" s="7">
        <v>0.61236000254280443</v>
      </c>
      <c r="T86" s="7">
        <v>0.6434211671597001</v>
      </c>
      <c r="V86" s="7">
        <v>0.13189655264461131</v>
      </c>
      <c r="W86" s="7">
        <v>0.13114161964500379</v>
      </c>
      <c r="X86" s="7">
        <v>0.26419972192217162</v>
      </c>
      <c r="Y86" s="7">
        <v>0.25475216278011031</v>
      </c>
      <c r="AA86" s="9">
        <v>23.046857957350269</v>
      </c>
      <c r="AB86" s="9">
        <v>23.470210934031101</v>
      </c>
      <c r="AC86" s="9">
        <v>14.031006550519971</v>
      </c>
      <c r="AD86" s="9">
        <v>13.32064978023195</v>
      </c>
    </row>
    <row r="87" spans="1:31" x14ac:dyDescent="0.25">
      <c r="A87" s="1">
        <v>45107</v>
      </c>
      <c r="B87" s="3">
        <v>688231897343.828</v>
      </c>
      <c r="C87" s="3">
        <v>702573679556.87573</v>
      </c>
      <c r="D87" s="3">
        <v>4424885846254.873</v>
      </c>
      <c r="E87" s="3">
        <v>4477739631314.2129</v>
      </c>
      <c r="G87" s="3">
        <v>3105020784768.853</v>
      </c>
      <c r="H87" s="3">
        <v>3136990233306.9199</v>
      </c>
      <c r="I87" s="3">
        <v>11650184311323.381</v>
      </c>
      <c r="J87" s="3">
        <v>12025675980772.189</v>
      </c>
      <c r="L87" s="3">
        <v>389065725629.74548</v>
      </c>
      <c r="M87" s="3">
        <v>380670406577.81873</v>
      </c>
      <c r="N87" s="3">
        <v>8322848967971.6387</v>
      </c>
      <c r="O87" s="3">
        <v>8412372567472.3906</v>
      </c>
      <c r="Q87" s="7">
        <v>0.1253021324489165</v>
      </c>
      <c r="R87" s="7">
        <v>0.1194069895065152</v>
      </c>
      <c r="S87" s="7">
        <v>0.71439633447534878</v>
      </c>
      <c r="T87" s="7">
        <v>0.78549348318645984</v>
      </c>
      <c r="V87" s="7">
        <v>7.889968483712359E-2</v>
      </c>
      <c r="W87" s="7">
        <v>4.0503551966296132E-2</v>
      </c>
      <c r="X87" s="7">
        <v>0.19744182715247541</v>
      </c>
      <c r="Y87" s="7">
        <v>0.19510756103503379</v>
      </c>
      <c r="AA87" s="9">
        <v>26.135343031356872</v>
      </c>
      <c r="AB87" s="9">
        <v>24.470343417161939</v>
      </c>
      <c r="AC87" s="9">
        <v>11.72371248263895</v>
      </c>
      <c r="AD87" s="9">
        <v>12.38735925780075</v>
      </c>
    </row>
    <row r="88" spans="1:31" x14ac:dyDescent="0.25">
      <c r="A88" s="1">
        <v>45199</v>
      </c>
      <c r="B88" s="3">
        <v>672798805709.26514</v>
      </c>
      <c r="C88" s="3">
        <v>694948881936.81128</v>
      </c>
      <c r="D88" s="3">
        <v>4582270334306.9424</v>
      </c>
      <c r="E88" s="3">
        <v>4538360261740.5303</v>
      </c>
      <c r="G88" s="3">
        <v>3252497773713.606</v>
      </c>
      <c r="H88" s="3">
        <v>3116995303451.6001</v>
      </c>
      <c r="I88" s="3">
        <v>11183878540931.9</v>
      </c>
      <c r="J88" s="3">
        <v>10377413870894.551</v>
      </c>
      <c r="L88" s="3">
        <v>530939375172.29431</v>
      </c>
      <c r="M88" s="3">
        <v>496825571268.97058</v>
      </c>
      <c r="N88" s="3">
        <v>7141226567730.5156</v>
      </c>
      <c r="O88" s="3">
        <v>7193007523021.7666</v>
      </c>
      <c r="Q88" s="7">
        <v>0.16324050379474461</v>
      </c>
      <c r="R88" s="7">
        <v>0.1618082706650443</v>
      </c>
      <c r="S88" s="7">
        <v>0.63852862328523374</v>
      </c>
      <c r="T88" s="7">
        <v>0.7217512020571254</v>
      </c>
      <c r="V88" s="7">
        <v>8.5458813890078575E-2</v>
      </c>
      <c r="W88" s="7">
        <v>0.10042847288557449</v>
      </c>
      <c r="X88" s="7">
        <v>0.23538627425594261</v>
      </c>
      <c r="Y88" s="7">
        <v>0.22685616713562501</v>
      </c>
      <c r="AA88" s="9">
        <v>26.15692909709465</v>
      </c>
      <c r="AB88" s="9">
        <v>26.685581185334129</v>
      </c>
      <c r="AC88" s="9">
        <v>12.42298959468898</v>
      </c>
      <c r="AD88" s="9">
        <v>11.593302327293509</v>
      </c>
    </row>
    <row r="89" spans="1:31" x14ac:dyDescent="0.25">
      <c r="A89" s="1">
        <v>45291</v>
      </c>
      <c r="B89" s="3">
        <v>712741812154.22681</v>
      </c>
      <c r="C89" s="3">
        <v>702949886706.9469</v>
      </c>
      <c r="D89" s="3">
        <v>4991918373570.7012</v>
      </c>
      <c r="E89" s="3">
        <v>4538402224811.8584</v>
      </c>
      <c r="G89" s="3">
        <v>3714346655294.6929</v>
      </c>
      <c r="H89" s="3">
        <v>3842333955672.2598</v>
      </c>
      <c r="I89" s="3">
        <v>10803856319309.551</v>
      </c>
      <c r="J89" s="3">
        <v>10882665531201.189</v>
      </c>
      <c r="L89" s="3">
        <v>536254215960.94012</v>
      </c>
      <c r="M89" s="3">
        <v>647560990707.66211</v>
      </c>
      <c r="N89" s="3">
        <v>6926020010053.418</v>
      </c>
      <c r="O89" s="3">
        <v>7032169456943.2939</v>
      </c>
      <c r="Q89" s="7">
        <v>0.1443737662979101</v>
      </c>
      <c r="R89" s="7">
        <v>0.16660335345828589</v>
      </c>
      <c r="S89" s="7">
        <v>0.64106924466171022</v>
      </c>
      <c r="T89" s="7">
        <v>0.40862296335184661</v>
      </c>
      <c r="V89" s="7">
        <v>0.1097883810115161</v>
      </c>
      <c r="W89" s="7">
        <v>0.1310428692455689</v>
      </c>
      <c r="X89" s="7">
        <v>0.21762405553101699</v>
      </c>
      <c r="Y89" s="7">
        <v>0.19390515156285809</v>
      </c>
      <c r="AA89" s="9">
        <v>28.649616387758272</v>
      </c>
      <c r="AB89" s="9">
        <v>29.94718174492537</v>
      </c>
      <c r="AC89" s="9">
        <v>11.54378679959858</v>
      </c>
      <c r="AD89" s="9">
        <v>11.96979561041403</v>
      </c>
    </row>
    <row r="90" spans="1:31" x14ac:dyDescent="0.25">
      <c r="A90" s="1">
        <v>45382</v>
      </c>
      <c r="B90" s="3">
        <v>738075020110.13123</v>
      </c>
      <c r="C90" s="3">
        <v>715303606595.16541</v>
      </c>
      <c r="D90" s="3">
        <v>4236853807813.1602</v>
      </c>
      <c r="E90" s="3">
        <v>4654955084578.9766</v>
      </c>
      <c r="G90" s="3">
        <v>3939000258045.2212</v>
      </c>
      <c r="H90" s="3">
        <v>4047117115626.292</v>
      </c>
      <c r="I90" s="3">
        <v>10690022361343.289</v>
      </c>
      <c r="J90" s="3">
        <v>10961068689627.09</v>
      </c>
      <c r="L90" s="3">
        <v>746678633361.18604</v>
      </c>
      <c r="M90" s="3">
        <v>697401143289.47339</v>
      </c>
      <c r="N90" s="3">
        <v>7157580622245.1035</v>
      </c>
      <c r="O90" s="3">
        <v>6875570762158.7979</v>
      </c>
      <c r="Q90" s="7">
        <v>0.18956044286519921</v>
      </c>
      <c r="R90" s="7">
        <v>0.17356149706167109</v>
      </c>
      <c r="S90" s="7">
        <v>0.66955712348441665</v>
      </c>
      <c r="T90" s="7">
        <v>0.7334527245835889</v>
      </c>
      <c r="V90" s="7">
        <v>0.12926062700820001</v>
      </c>
      <c r="W90" s="7">
        <v>0.1426439539584019</v>
      </c>
      <c r="X90" s="7">
        <v>0.24129562375191721</v>
      </c>
      <c r="Y90" s="7">
        <v>0.2378410093831744</v>
      </c>
      <c r="AA90" s="9">
        <v>26.7405357863163</v>
      </c>
      <c r="AB90" s="9">
        <v>26.83926921327949</v>
      </c>
      <c r="AC90" s="9">
        <v>11.351645794726871</v>
      </c>
      <c r="AD90" s="9">
        <v>11.869235734476201</v>
      </c>
    </row>
    <row r="91" spans="1:31" x14ac:dyDescent="0.25">
      <c r="A91" s="1">
        <v>45473</v>
      </c>
      <c r="B91" s="3">
        <v>725908076367.88062</v>
      </c>
      <c r="C91" s="3">
        <v>727570122356.15186</v>
      </c>
      <c r="D91" s="3">
        <v>4590775729689.5605</v>
      </c>
      <c r="E91" s="3">
        <v>4685051822898.7939</v>
      </c>
      <c r="G91" s="3">
        <v>4396403874669.8569</v>
      </c>
      <c r="H91" s="3">
        <v>4253210940927.5112</v>
      </c>
      <c r="I91" s="3">
        <v>10235224998813.85</v>
      </c>
      <c r="J91" s="3">
        <v>10943614404297.68</v>
      </c>
      <c r="L91" s="3">
        <v>801153638645.60217</v>
      </c>
      <c r="M91" s="3">
        <v>749193655275.15845</v>
      </c>
      <c r="N91" s="3">
        <v>6821744337150.0742</v>
      </c>
      <c r="O91" s="3">
        <v>6724494184875.7168</v>
      </c>
      <c r="Q91" s="7">
        <v>0.18222930865417</v>
      </c>
      <c r="R91" s="7">
        <v>0.17601910731195</v>
      </c>
      <c r="S91" s="7">
        <v>0.66649676367062172</v>
      </c>
      <c r="T91" s="7">
        <v>0.74220115697560807</v>
      </c>
      <c r="V91" s="7">
        <v>0.20052468450575101</v>
      </c>
      <c r="W91" s="7">
        <v>0.1421283045648517</v>
      </c>
      <c r="X91" s="7">
        <v>0.18531283098221449</v>
      </c>
      <c r="Y91" s="7">
        <v>0.2388585721307479</v>
      </c>
      <c r="AA91" s="9">
        <v>27.734725104156691</v>
      </c>
      <c r="AB91" s="9">
        <v>26.54117834048477</v>
      </c>
      <c r="AC91" s="9">
        <v>11.8945267371002</v>
      </c>
      <c r="AD91" s="9">
        <v>11.95782282487399</v>
      </c>
    </row>
    <row r="92" spans="1:31" x14ac:dyDescent="0.25">
      <c r="A92" s="1">
        <v>45565</v>
      </c>
      <c r="B92" s="3">
        <v>707577896957.70703</v>
      </c>
      <c r="C92" s="3">
        <v>736916781323.328</v>
      </c>
      <c r="D92" s="3">
        <v>4745071999004.8857</v>
      </c>
      <c r="E92" s="3">
        <v>4715723679429.7119</v>
      </c>
      <c r="G92" s="3">
        <v>4697766954823.0381</v>
      </c>
      <c r="H92" s="3">
        <v>4458681168626.3994</v>
      </c>
      <c r="I92" s="3">
        <v>11701143894573.58</v>
      </c>
      <c r="J92" s="3">
        <v>10970277518774.25</v>
      </c>
      <c r="L92" s="3">
        <v>867726732817.86377</v>
      </c>
      <c r="M92" s="3">
        <v>807142981743.16565</v>
      </c>
      <c r="N92" s="3">
        <v>5997316599849.3135</v>
      </c>
      <c r="O92" s="3">
        <v>6584438757288.3232</v>
      </c>
      <c r="Q92" s="7">
        <v>0.18471046800799651</v>
      </c>
      <c r="R92" s="7">
        <v>0.17838482288292021</v>
      </c>
      <c r="S92" s="7">
        <v>0.51254105187361865</v>
      </c>
      <c r="T92" s="7">
        <v>0.75625195304630521</v>
      </c>
      <c r="V92" s="7">
        <v>0.12514168005977019</v>
      </c>
      <c r="W92" s="7">
        <v>0.15108495107236181</v>
      </c>
      <c r="X92" s="7">
        <v>0.2475812342849317</v>
      </c>
      <c r="Y92" s="7">
        <v>0.24498380765720759</v>
      </c>
      <c r="AA92" s="9">
        <v>27.63</v>
      </c>
      <c r="AB92" s="9">
        <v>26.526354265256622</v>
      </c>
      <c r="AC92" s="9">
        <v>13.52</v>
      </c>
      <c r="AD92" s="9">
        <v>11.89945031130225</v>
      </c>
    </row>
    <row r="93" spans="1:31" x14ac:dyDescent="0.25">
      <c r="A93" s="1">
        <v>45657</v>
      </c>
      <c r="B93" s="3">
        <v>758906201548.81079</v>
      </c>
      <c r="C93" s="3">
        <v>752660714772.60913</v>
      </c>
      <c r="D93" s="3">
        <v>5212390165104.3604</v>
      </c>
      <c r="E93" s="3">
        <v>4746119985880.2471</v>
      </c>
      <c r="G93" s="3">
        <v>4335416937646.8721</v>
      </c>
      <c r="H93" s="3">
        <v>4664040546585.8213</v>
      </c>
      <c r="I93" s="3">
        <v>11920857666737.83</v>
      </c>
      <c r="J93" s="3">
        <v>11001106271217.23</v>
      </c>
      <c r="L93" s="3">
        <v>663139095475.40015</v>
      </c>
      <c r="M93" s="3">
        <v>851815967439.40015</v>
      </c>
      <c r="N93" s="3">
        <v>15514898223104.439</v>
      </c>
      <c r="O93" s="3">
        <v>15099388775918.359</v>
      </c>
      <c r="Q93" s="7">
        <v>0.15295855162556321</v>
      </c>
      <c r="R93" s="7">
        <v>0.18393002817651299</v>
      </c>
      <c r="S93" s="7">
        <v>1.301491776585411</v>
      </c>
      <c r="T93" s="7">
        <v>0.76274072334235699</v>
      </c>
      <c r="V93" s="7">
        <v>0.13327168797628181</v>
      </c>
      <c r="W93" s="7">
        <v>0.15828168741382509</v>
      </c>
      <c r="X93" s="7">
        <v>0.31035907999405948</v>
      </c>
      <c r="Y93" s="7">
        <v>0.24094360302682971</v>
      </c>
      <c r="AA93" s="9">
        <v>25.15</v>
      </c>
      <c r="AB93" s="9">
        <v>26.426989971809839</v>
      </c>
      <c r="AC93" s="9">
        <v>11.38</v>
      </c>
      <c r="AD93" s="9">
        <v>11.675790380614361</v>
      </c>
    </row>
    <row r="95" spans="1:31" x14ac:dyDescent="0.25">
      <c r="A95" s="14" t="s">
        <v>26</v>
      </c>
      <c r="B95" s="12">
        <f>AVERAGE(B2:B5)</f>
        <v>217900543957.34058</v>
      </c>
      <c r="C95" s="12">
        <f t="shared" ref="C95:E95" si="0">AVERAGE(C2:C5)</f>
        <v>217688436318.01074</v>
      </c>
      <c r="D95" s="12">
        <f t="shared" si="0"/>
        <v>702981303224.66626</v>
      </c>
      <c r="E95" s="12">
        <f t="shared" si="0"/>
        <v>701675436854.19336</v>
      </c>
      <c r="F95" s="7">
        <f>E95/C95</f>
        <v>3.2233013784395461</v>
      </c>
      <c r="G95" s="12">
        <f>AVERAGE(G2:G5)</f>
        <v>241204184313.58344</v>
      </c>
      <c r="H95" s="12">
        <f t="shared" ref="H95:J95" si="1">AVERAGE(H2:H5)</f>
        <v>231310356412.56042</v>
      </c>
      <c r="I95" s="12">
        <f t="shared" si="1"/>
        <v>987948384132.72632</v>
      </c>
      <c r="J95" s="12">
        <f t="shared" si="1"/>
        <v>997721218576.14465</v>
      </c>
      <c r="K95" s="7">
        <f>I95/G95</f>
        <v>4.0959006865665302</v>
      </c>
      <c r="L95" s="12">
        <f>AVERAGE(L2:L5)</f>
        <v>94305248291.974792</v>
      </c>
      <c r="M95" s="12">
        <f t="shared" ref="M95:O95" si="2">AVERAGE(M2:M5)</f>
        <v>94099873641.475159</v>
      </c>
      <c r="N95" s="12">
        <f t="shared" si="2"/>
        <v>159436940239.30234</v>
      </c>
      <c r="O95" s="12">
        <f t="shared" si="2"/>
        <v>166510710971.70895</v>
      </c>
      <c r="P95" s="7">
        <f>N95/L95</f>
        <v>1.6906475845933395</v>
      </c>
      <c r="Q95" s="11">
        <f>AVERAGE(Q2:Q5)</f>
        <v>0.39101610709212137</v>
      </c>
      <c r="R95" s="11">
        <f t="shared" ref="R95:T95" si="3">AVERAGE(R2:R5)</f>
        <v>0.39167597374987007</v>
      </c>
      <c r="S95" s="11">
        <f t="shared" si="3"/>
        <v>0.15983043718794676</v>
      </c>
      <c r="T95" s="11">
        <f t="shared" si="3"/>
        <v>0.15216451509695675</v>
      </c>
      <c r="U95" s="7">
        <f>S95/Q95</f>
        <v>0.40875665807365713</v>
      </c>
      <c r="V95" s="11">
        <f>AVERAGE(V2:V5)</f>
        <v>0.16854151610495016</v>
      </c>
      <c r="W95" s="11">
        <f t="shared" ref="W95:Y95" si="4">AVERAGE(W2:W5)</f>
        <v>0.17153273777357933</v>
      </c>
      <c r="X95" s="11">
        <f t="shared" si="4"/>
        <v>0.21561425534247824</v>
      </c>
      <c r="Y95" s="11">
        <f t="shared" si="4"/>
        <v>0.21851980630718099</v>
      </c>
      <c r="Z95" s="7">
        <f>X95/V95</f>
        <v>1.2792946232204063</v>
      </c>
      <c r="AA95" s="15">
        <f>AVERAGE(AA2:AA5)</f>
        <v>13.853402889831528</v>
      </c>
      <c r="AB95" s="15">
        <f t="shared" ref="AB95:AD95" si="5">AVERAGE(AB2:AB5)</f>
        <v>13.156187793176805</v>
      </c>
      <c r="AC95" s="15">
        <f t="shared" si="5"/>
        <v>13.410653433827729</v>
      </c>
      <c r="AD95" s="15">
        <f t="shared" si="5"/>
        <v>13.031127735980286</v>
      </c>
      <c r="AE95" s="7">
        <f>AC95/AA95</f>
        <v>0.96804038260312353</v>
      </c>
    </row>
    <row r="96" spans="1:31" x14ac:dyDescent="0.25">
      <c r="A96" s="14" t="s">
        <v>25</v>
      </c>
      <c r="B96" s="3">
        <f>AVERAGE(B90:B93)</f>
        <v>732616798746.13232</v>
      </c>
      <c r="C96" s="3">
        <f t="shared" ref="C96:E96" si="6">AVERAGE(C90:C93)</f>
        <v>733112806261.81372</v>
      </c>
      <c r="D96" s="3">
        <f t="shared" si="6"/>
        <v>4696272925402.9912</v>
      </c>
      <c r="E96" s="3">
        <f t="shared" si="6"/>
        <v>4700462643196.9316</v>
      </c>
      <c r="F96" s="7">
        <f>E96/C96</f>
        <v>6.4116498894145275</v>
      </c>
      <c r="G96" s="3">
        <f>AVERAGE(G90:G93)</f>
        <v>4342147006296.2471</v>
      </c>
      <c r="H96" s="3">
        <f t="shared" ref="H96:J96" si="7">AVERAGE(H90:H93)</f>
        <v>4355762442941.5059</v>
      </c>
      <c r="I96" s="3">
        <f t="shared" si="7"/>
        <v>11136812230367.137</v>
      </c>
      <c r="J96" s="3">
        <f t="shared" si="7"/>
        <v>10969016720979.063</v>
      </c>
      <c r="K96" s="7">
        <f>I96/G96</f>
        <v>2.5648169475189153</v>
      </c>
      <c r="L96" s="3">
        <f>AVERAGE(L90:L93)</f>
        <v>769674525075.01294</v>
      </c>
      <c r="M96" s="3">
        <f t="shared" ref="M96:O96" si="8">AVERAGE(M90:M93)</f>
        <v>776388436936.79932</v>
      </c>
      <c r="N96" s="3">
        <f t="shared" si="8"/>
        <v>8872884945587.2324</v>
      </c>
      <c r="O96" s="3">
        <f t="shared" si="8"/>
        <v>8820973120060.3008</v>
      </c>
      <c r="P96" s="7">
        <f>N96/L96</f>
        <v>11.528100068951192</v>
      </c>
      <c r="Q96" s="11">
        <f>AVERAGE(Q90:Q93)</f>
        <v>0.17736469278823225</v>
      </c>
      <c r="R96" s="11">
        <f t="shared" ref="R96:T96" si="9">AVERAGE(R90:R93)</f>
        <v>0.17797386385826358</v>
      </c>
      <c r="S96" s="11">
        <f t="shared" si="9"/>
        <v>0.7875216789035171</v>
      </c>
      <c r="T96" s="11">
        <f t="shared" si="9"/>
        <v>0.74866163948696485</v>
      </c>
      <c r="U96" s="7">
        <f>S96/Q96</f>
        <v>4.4401265354643762</v>
      </c>
      <c r="V96" s="11">
        <f>AVERAGE(V90:V93)</f>
        <v>0.14704966988750073</v>
      </c>
      <c r="W96" s="11">
        <f t="shared" ref="W96:Y96" si="10">AVERAGE(W90:W93)</f>
        <v>0.14853472425236014</v>
      </c>
      <c r="X96" s="11">
        <f t="shared" si="10"/>
        <v>0.24613719225328073</v>
      </c>
      <c r="Y96" s="11">
        <f t="shared" si="10"/>
        <v>0.24065674804948992</v>
      </c>
      <c r="Z96" s="7">
        <f>X96/V96</f>
        <v>1.6738370949189221</v>
      </c>
      <c r="AA96" s="15">
        <f>AVERAGE(AA90:AA93)</f>
        <v>26.813815222618246</v>
      </c>
      <c r="AB96" s="15">
        <f t="shared" ref="AB96:AD96" si="11">AVERAGE(AB90:AB93)</f>
        <v>26.583447947707675</v>
      </c>
      <c r="AC96" s="15">
        <f t="shared" si="11"/>
        <v>12.036543132956767</v>
      </c>
      <c r="AD96" s="15">
        <f t="shared" si="11"/>
        <v>11.850574812816699</v>
      </c>
      <c r="AE96" s="7">
        <f>AC96/AA96</f>
        <v>0.44889334222022936</v>
      </c>
    </row>
    <row r="97" spans="2:31" x14ac:dyDescent="0.25">
      <c r="B97" s="13">
        <f>B96/B95-1</f>
        <v>2.3621614037345413</v>
      </c>
      <c r="C97" s="13">
        <f t="shared" ref="C97:E97" si="12">C96/C95-1</f>
        <v>2.3677158909389378</v>
      </c>
      <c r="D97" s="13">
        <f t="shared" si="12"/>
        <v>5.6805090033839862</v>
      </c>
      <c r="E97" s="13">
        <f t="shared" si="12"/>
        <v>5.6989129108899927</v>
      </c>
      <c r="G97" s="13">
        <f>G96/G95-1</f>
        <v>17.001955557500331</v>
      </c>
      <c r="H97" s="13">
        <f t="shared" ref="H97" si="13">H96/H95-1</f>
        <v>17.830814627135229</v>
      </c>
      <c r="I97" s="13">
        <f t="shared" ref="I97" si="14">I96/I95-1</f>
        <v>10.272666071662867</v>
      </c>
      <c r="J97" s="13">
        <f t="shared" ref="J97" si="15">J96/J95-1</f>
        <v>9.9940698030187498</v>
      </c>
      <c r="L97" s="13">
        <f>L96/L95-1</f>
        <v>7.1615237647437571</v>
      </c>
      <c r="M97" s="13">
        <f t="shared" ref="M97" si="16">M96/M95-1</f>
        <v>7.2506852229671939</v>
      </c>
      <c r="N97" s="13">
        <f t="shared" ref="N97" si="17">N96/N95-1</f>
        <v>54.651374971632848</v>
      </c>
      <c r="O97" s="13">
        <f t="shared" ref="O97" si="18">O96/O95-1</f>
        <v>51.975409621300763</v>
      </c>
      <c r="Q97" s="13">
        <f>Q96/Q95-1</f>
        <v>-0.54640054572880792</v>
      </c>
      <c r="R97" s="13">
        <f t="shared" ref="R97" si="19">R96/R95-1</f>
        <v>-0.5456094430445706</v>
      </c>
      <c r="S97" s="13">
        <f t="shared" ref="S97" si="20">S96/S95-1</f>
        <v>3.9272322140836025</v>
      </c>
      <c r="T97" s="13">
        <f t="shared" ref="T97" si="21">T96/T95-1</f>
        <v>3.9200803420556349</v>
      </c>
      <c r="U97" s="3"/>
      <c r="V97" s="13">
        <f>V96/V95-1</f>
        <v>-0.1275166304073504</v>
      </c>
      <c r="W97" s="13">
        <f t="shared" ref="W97" si="22">W96/W95-1</f>
        <v>-0.13407361078545965</v>
      </c>
      <c r="X97" s="13">
        <f t="shared" ref="X97" si="23">X96/X95-1</f>
        <v>0.14156270355278844</v>
      </c>
      <c r="Y97" s="13">
        <f t="shared" ref="Y97" si="24">Y96/Y95-1</f>
        <v>0.10130405163910061</v>
      </c>
      <c r="Z97" s="3"/>
      <c r="AA97" s="13">
        <f>AA96/AA95-1</f>
        <v>0.93553998507469438</v>
      </c>
      <c r="AB97" s="13">
        <f t="shared" ref="AB97" si="25">AB96/AB95-1</f>
        <v>1.0206041723951866</v>
      </c>
      <c r="AC97" s="13">
        <f t="shared" ref="AC97" si="26">AC96/AC95-1</f>
        <v>-0.10246408257817141</v>
      </c>
      <c r="AD97" s="13">
        <f t="shared" ref="AD97" si="27">AD96/AD95-1</f>
        <v>-9.0594839301893937E-2</v>
      </c>
      <c r="AE97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2026-01-22T15:10:38Z</dcterms:created>
  <dcterms:modified xsi:type="dcterms:W3CDTF">2026-02-04T17:21:20Z</dcterms:modified>
</cp:coreProperties>
</file>